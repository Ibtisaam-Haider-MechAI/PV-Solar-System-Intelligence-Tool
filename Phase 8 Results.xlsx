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hail Laptop\Desktop\PV Installation Estimate\"/>
    </mc:Choice>
  </mc:AlternateContent>
  <xr:revisionPtr revIDLastSave="0" documentId="8_{48AF052C-C084-4274-8FFF-DF874DE0DC79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Inputs" sheetId="1" r:id="rId1"/>
    <sheet name="Technical" sheetId="2" r:id="rId2"/>
    <sheet name="Financial" sheetId="3" r:id="rId3"/>
    <sheet name="Environmental" sheetId="4" r:id="rId4"/>
    <sheet name="Visual Dashboard" sheetId="5" r:id="rId5"/>
    <sheet name="Feasible" sheetId="6" r:id="rId6"/>
    <sheet name="Scoring" sheetId="7" r:id="rId7"/>
  </sheets>
  <definedNames>
    <definedName name="_xlnm.Print_Area" localSheetId="4">'Visual Dashboard'!$A$1:$V$109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19" i="5"/>
  <c r="B17" i="5"/>
  <c r="B11" i="5"/>
  <c r="B10" i="5"/>
  <c r="F9" i="5"/>
  <c r="F6" i="5"/>
  <c r="B6" i="5"/>
  <c r="B3" i="5"/>
  <c r="G5" i="3"/>
  <c r="B18" i="5" s="1"/>
  <c r="D6" i="1"/>
  <c r="D7" i="1" s="1"/>
  <c r="B8" i="5" l="1"/>
  <c r="D11" i="1"/>
  <c r="B7" i="5"/>
  <c r="F7" i="5" l="1"/>
  <c r="D5" i="3"/>
  <c r="E9" i="2"/>
  <c r="F11" i="5" s="1"/>
  <c r="E7" i="2"/>
  <c r="E8" i="2"/>
  <c r="F8" i="5" s="1"/>
  <c r="J8" i="5" l="1"/>
  <c r="B26" i="5" s="1"/>
  <c r="B8" i="7" s="1"/>
  <c r="D8" i="7" s="1"/>
  <c r="E6" i="2"/>
  <c r="D10" i="3"/>
  <c r="F10" i="5"/>
  <c r="E5" i="2" l="1"/>
  <c r="J7" i="5"/>
  <c r="B10" i="6"/>
  <c r="B20" i="6" s="1"/>
  <c r="B16" i="5"/>
  <c r="J6" i="5" l="1"/>
  <c r="E14" i="2"/>
  <c r="B41" i="6"/>
  <c r="B28" i="6"/>
  <c r="B29" i="6" s="1"/>
  <c r="B31" i="6" s="1"/>
  <c r="E11" i="2"/>
  <c r="B36" i="6" l="1"/>
  <c r="B9" i="7"/>
  <c r="D9" i="7" s="1"/>
  <c r="J10" i="5"/>
  <c r="G6" i="3"/>
  <c r="B42" i="6"/>
  <c r="B48" i="6" s="1"/>
  <c r="B49" i="6" s="1"/>
  <c r="B45" i="6"/>
  <c r="B46" i="6" s="1"/>
  <c r="B30" i="5"/>
  <c r="B5" i="4"/>
  <c r="E15" i="2"/>
  <c r="B8" i="4" l="1"/>
  <c r="B6" i="7"/>
  <c r="D6" i="7" s="1"/>
  <c r="C11" i="7" s="1"/>
  <c r="D11" i="7" s="1"/>
  <c r="B9" i="4"/>
  <c r="B20" i="5"/>
  <c r="G7" i="3"/>
  <c r="B31" i="5"/>
  <c r="B6" i="4"/>
  <c r="B7" i="7" s="1"/>
  <c r="D7" i="7" s="1"/>
  <c r="B8" i="6" l="1"/>
  <c r="B21" i="5"/>
  <c r="G8" i="3"/>
  <c r="E1" i="5" l="1"/>
  <c r="B23" i="5"/>
  <c r="F10" i="3"/>
  <c r="G9" i="3"/>
  <c r="B24" i="5" s="1"/>
  <c r="B9" i="6"/>
  <c r="B11" i="6" s="1"/>
  <c r="B19" i="6" l="1"/>
  <c r="B21" i="6" s="1"/>
  <c r="B23" i="6" s="1"/>
  <c r="B12" i="6"/>
  <c r="B14" i="6" s="1"/>
</calcChain>
</file>

<file path=xl/sharedStrings.xml><?xml version="1.0" encoding="utf-8"?>
<sst xmlns="http://schemas.openxmlformats.org/spreadsheetml/2006/main" count="250" uniqueCount="147">
  <si>
    <t>SunEnergy Value</t>
  </si>
  <si>
    <t>Input Information</t>
  </si>
  <si>
    <t>Parameters</t>
  </si>
  <si>
    <t>Value</t>
  </si>
  <si>
    <t>Units</t>
  </si>
  <si>
    <t>Annual Units Consumed</t>
  </si>
  <si>
    <t>kWh/year</t>
  </si>
  <si>
    <t>Monthly Units Consumed</t>
  </si>
  <si>
    <t>kWh/month</t>
  </si>
  <si>
    <t>Daily Units / Daily Load</t>
  </si>
  <si>
    <t>kWh/day</t>
  </si>
  <si>
    <t>Location</t>
  </si>
  <si>
    <t>Islamabad</t>
  </si>
  <si>
    <t>Peak Sun Hours</t>
  </si>
  <si>
    <t>hrs.</t>
  </si>
  <si>
    <t>System Efficiency</t>
  </si>
  <si>
    <t>System Size</t>
  </si>
  <si>
    <t>kW</t>
  </si>
  <si>
    <t>Solar Size</t>
  </si>
  <si>
    <t>W</t>
  </si>
  <si>
    <t>Carbon Dioxide Emitted</t>
  </si>
  <si>
    <t>kg/kWh</t>
  </si>
  <si>
    <t>Technical Results</t>
  </si>
  <si>
    <t>Results</t>
  </si>
  <si>
    <t>Annual Energy Production</t>
  </si>
  <si>
    <t>kWh/Year</t>
  </si>
  <si>
    <t>Monthly Energy Production</t>
  </si>
  <si>
    <t>Daily Energy Production</t>
  </si>
  <si>
    <t>Panels Required</t>
  </si>
  <si>
    <t>Inverter Size</t>
  </si>
  <si>
    <t>Excess Units (Export to Grid)</t>
  </si>
  <si>
    <t>Reduced Carbon Dioxide Emission</t>
  </si>
  <si>
    <t>kg</t>
  </si>
  <si>
    <t>25-Year Carbon Dioxide Emission</t>
  </si>
  <si>
    <t>Financial Analysis</t>
  </si>
  <si>
    <t>Items</t>
  </si>
  <si>
    <t>Panel Cost</t>
  </si>
  <si>
    <t>Rs.</t>
  </si>
  <si>
    <t>Save Bill Money</t>
  </si>
  <si>
    <t>Rs./Year</t>
  </si>
  <si>
    <t>Inverter Cost</t>
  </si>
  <si>
    <t>Earn Money by sell units</t>
  </si>
  <si>
    <t>Structure &amp; Frame Cost</t>
  </si>
  <si>
    <t>Annual Savings</t>
  </si>
  <si>
    <t>On-Grid (Net Metering)</t>
  </si>
  <si>
    <t>Payback Period</t>
  </si>
  <si>
    <t>Years</t>
  </si>
  <si>
    <t>Total Labor Cost</t>
  </si>
  <si>
    <t>ROI</t>
  </si>
  <si>
    <t>%/Year</t>
  </si>
  <si>
    <t>Total System Cost</t>
  </si>
  <si>
    <t>Data</t>
  </si>
  <si>
    <t>Values</t>
  </si>
  <si>
    <t>Total System Life Span</t>
  </si>
  <si>
    <t>Tarrif Rate. (Rs) / Unit</t>
  </si>
  <si>
    <t>Export Rate (Rs) / Unit</t>
  </si>
  <si>
    <t>Cost per kW</t>
  </si>
  <si>
    <t>Sustainable Environment</t>
  </si>
  <si>
    <t>Reduce Carbon Dioxide Emission</t>
  </si>
  <si>
    <t>kg/year</t>
  </si>
  <si>
    <t>25-Year Carbon Dioxide Emission Reduce</t>
  </si>
  <si>
    <t>1 Tree Absorbs Carbon dioxide</t>
  </si>
  <si>
    <t>Sustainable Impact</t>
  </si>
  <si>
    <t>(Total Save Trees)</t>
  </si>
  <si>
    <t>Result:</t>
  </si>
  <si>
    <t>System Status:</t>
  </si>
  <si>
    <t>Graphical Results</t>
  </si>
  <si>
    <t>Solar PV System &amp; Financial Report Analysis</t>
  </si>
  <si>
    <t>DATE:</t>
  </si>
  <si>
    <t>Given Details</t>
  </si>
  <si>
    <t>System Output Idea</t>
  </si>
  <si>
    <t>Energy Production</t>
  </si>
  <si>
    <t>Paramters</t>
  </si>
  <si>
    <t xml:space="preserve">Yearly units Consumed </t>
  </si>
  <si>
    <t>For Solar Watts (W)</t>
  </si>
  <si>
    <t>Annual Energy Generation</t>
  </si>
  <si>
    <t>Solar System Size</t>
  </si>
  <si>
    <t>Monthly Energy Generation</t>
  </si>
  <si>
    <t>Daily Units Consumed</t>
  </si>
  <si>
    <t>No. Of Panels Required</t>
  </si>
  <si>
    <t>Daily Energy Generation</t>
  </si>
  <si>
    <t>PAKISTAN</t>
  </si>
  <si>
    <t>CostperkW</t>
  </si>
  <si>
    <t>Total Panels Cost</t>
  </si>
  <si>
    <t>Excess Energy/Units Generate</t>
  </si>
  <si>
    <t>Investment &amp; Coverage</t>
  </si>
  <si>
    <t>Total System Cost Required</t>
  </si>
  <si>
    <t>Tarriff Rate</t>
  </si>
  <si>
    <t>Rs./Unit</t>
  </si>
  <si>
    <t>WAPDA Bill Cut-off Price</t>
  </si>
  <si>
    <t>Export Unit Rate</t>
  </si>
  <si>
    <t xml:space="preserve">Earn Money from Export Units </t>
  </si>
  <si>
    <t>Total Save Money</t>
  </si>
  <si>
    <t>Daily Coverage</t>
  </si>
  <si>
    <t>%/day</t>
  </si>
  <si>
    <t>Final Verdict</t>
  </si>
  <si>
    <t>This PV System calculations and analysis is estimated based on "Pakistan" assumptions.  It may varies and get real-time idea by visit the site with all scenarios will be considered.</t>
  </si>
  <si>
    <t>Check (NPV) Feasiblity</t>
  </si>
  <si>
    <t>In this sheet, we check the feasibility behaviour of our system. That, tells our investment in safe hand or not?</t>
  </si>
  <si>
    <t>Description</t>
  </si>
  <si>
    <t>Discount Rate (r)</t>
  </si>
  <si>
    <t>If I put my investment in bank, then per year it gives me 10% profit which is known as "Bench mark". We compare both senarios, to deposit money in bank vs investment in installed solar system.</t>
  </si>
  <si>
    <t>Annual Savings (Includes bill saving + Export Units Revenue) Money</t>
  </si>
  <si>
    <t>Operating &amp; Maintenace Cost (For System)</t>
  </si>
  <si>
    <t>Initial Investment (Total System Cost)</t>
  </si>
  <si>
    <t xml:space="preserve">Total Cash Flow </t>
  </si>
  <si>
    <t>NPV (Net Present Value)</t>
  </si>
  <si>
    <t>Final Remarks</t>
  </si>
  <si>
    <t>Check IRR</t>
  </si>
  <si>
    <t>Actual rate of return, in which net present value equals to zero. The system is feasible only, if IRR greater than discount rate.</t>
  </si>
  <si>
    <t xml:space="preserve">NPV </t>
  </si>
  <si>
    <t>Total Cash Flow</t>
  </si>
  <si>
    <t>IRR</t>
  </si>
  <si>
    <t>Check LCOE</t>
  </si>
  <si>
    <t>Check the levelized Cost of Energy, gives an idea how much charge our system gives 1 Unit(kWh) cost and compare with grid tarriff rate.</t>
  </si>
  <si>
    <t>Total Life Cycle of solar system</t>
  </si>
  <si>
    <t>Annually Units/Energy Generation</t>
  </si>
  <si>
    <t>Total Life-Time Units/Energy Generation</t>
  </si>
  <si>
    <t>kWh/Life-Time</t>
  </si>
  <si>
    <t>LCOE</t>
  </si>
  <si>
    <t>Check Tarriff Rate</t>
  </si>
  <si>
    <t xml:space="preserve">Tarriff Rate In Pakistan </t>
  </si>
  <si>
    <t>Environmental Monetization</t>
  </si>
  <si>
    <t>1 Ton</t>
  </si>
  <si>
    <t>Reduced Carbon Dioxide Emission Annually</t>
  </si>
  <si>
    <t>kg/kWh/Year</t>
  </si>
  <si>
    <t xml:space="preserve">25 -Year Reduced Carbon Dioxide Emission </t>
  </si>
  <si>
    <t>kg/kWh/25Years</t>
  </si>
  <si>
    <t>1 Ton Carbon Dioxide Reduced Price</t>
  </si>
  <si>
    <t>Annually Carbon Credit</t>
  </si>
  <si>
    <t>How much ton your system reduced carbon dioxide emission annually</t>
  </si>
  <si>
    <t>Ton</t>
  </si>
  <si>
    <t>Carbon Credit Price for your system</t>
  </si>
  <si>
    <t>Over 25 Years</t>
  </si>
  <si>
    <t>How much ton your system reduced carbon dioxide emission over 25Years</t>
  </si>
  <si>
    <t>Rs. / Year</t>
  </si>
  <si>
    <t>Sustainability Factors</t>
  </si>
  <si>
    <t>Factors</t>
  </si>
  <si>
    <t>Score</t>
  </si>
  <si>
    <t>Carbon Dioxide Emission Annually</t>
  </si>
  <si>
    <t>kg/Year</t>
  </si>
  <si>
    <t>For 25 Years Carbon Dioxide Emission</t>
  </si>
  <si>
    <t>kg/25Year</t>
  </si>
  <si>
    <t>Renewable Solar Load Coverage</t>
  </si>
  <si>
    <t>LCOE vs Grid Tarriff Rate</t>
  </si>
  <si>
    <t>Difference (Solar unit cost / Grid Tarriff unit cost)</t>
  </si>
  <si>
    <t>Sustainability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</si>
</sst>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4" x14ac:dyDescent="0.3"/>
  <sheetData>
    <row r="1" spans="1:5" ht="15.6" x14ac:dyDescent="0.3">
      <c r="A1" t="s">
        <v>0</v>
      </c>
      <c r="D1" t="s">
        <v>1</v>
      </c>
    </row>
    <row r="3" spans="1:5" ht="15.6" x14ac:dyDescent="0.3">
      <c r="C3" t="s">
        <v>2</v>
      </c>
      <c r="D3" t="s">
        <v>3</v>
      </c>
      <c r="E3" t="s">
        <v>4</v>
      </c>
    </row>
    <row r="5" spans="1:5" ht="15.6" x14ac:dyDescent="0.3">
      <c r="C5" t="s">
        <v>5</v>
      </c>
      <c r="D5">
        <v>6665</v>
      </c>
      <c r="E5" t="s">
        <v>6</v>
      </c>
    </row>
    <row r="6" spans="1:5" ht="15.6" x14ac:dyDescent="0.3">
      <c r="C6" t="s">
        <v>7</v>
      </c>
      <c r="D6">
        <f>(D5/12)</f>
        <v>555.41666666666663</v>
      </c>
      <c r="E6" t="s">
        <v>8</v>
      </c>
    </row>
    <row r="7" spans="1:5" ht="15.6" x14ac:dyDescent="0.3">
      <c r="C7" t="s">
        <v>9</v>
      </c>
      <c r="D7">
        <f>(D6/30)</f>
        <v>18.513888888888889</v>
      </c>
      <c r="E7" t="s">
        <v>10</v>
      </c>
    </row>
    <row r="8" spans="1:5" ht="15.6" x14ac:dyDescent="0.3">
      <c r="C8" t="s">
        <v>11</v>
      </c>
      <c r="D8" t="s">
        <v>12</v>
      </c>
    </row>
    <row r="9" spans="1:5" ht="15.6" x14ac:dyDescent="0.3">
      <c r="C9" t="s">
        <v>13</v>
      </c>
      <c r="D9">
        <v>6.4</v>
      </c>
      <c r="E9" t="s">
        <v>14</v>
      </c>
    </row>
    <row r="10" spans="1:5" ht="15.6" x14ac:dyDescent="0.3">
      <c r="C10" t="s">
        <v>15</v>
      </c>
      <c r="D10">
        <v>0.8</v>
      </c>
    </row>
    <row r="11" spans="1:5" ht="15.6" x14ac:dyDescent="0.3">
      <c r="C11" t="s">
        <v>16</v>
      </c>
      <c r="D11">
        <f>(D7/(D9 * D10)) * 1.75</f>
        <v>6.3279893663194429</v>
      </c>
      <c r="E11" t="s">
        <v>17</v>
      </c>
    </row>
    <row r="12" spans="1:5" ht="15.6" x14ac:dyDescent="0.3">
      <c r="C12" t="s">
        <v>18</v>
      </c>
      <c r="D12">
        <v>1435</v>
      </c>
      <c r="E12" t="s">
        <v>19</v>
      </c>
    </row>
    <row r="15" spans="1:5" ht="15.6" x14ac:dyDescent="0.3">
      <c r="C15" t="s">
        <v>20</v>
      </c>
      <c r="D15">
        <v>0.5</v>
      </c>
      <c r="E15" t="s">
        <v>21</v>
      </c>
    </row>
  </sheetData>
  <pageMargins left="0.7" right="0.7" top="0.75" bottom="0.75" header="0.3" footer="0.3"/>
  <ignoredErrors>
    <ignoredError sqref="A1:E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ht="15.6" x14ac:dyDescent="0.3">
      <c r="A1" t="s">
        <v>0</v>
      </c>
      <c r="D1" t="s">
        <v>22</v>
      </c>
    </row>
    <row r="3" spans="1:6" ht="15.6" x14ac:dyDescent="0.3">
      <c r="C3" t="s">
        <v>2</v>
      </c>
      <c r="E3" t="s">
        <v>23</v>
      </c>
      <c r="F3" t="s">
        <v>4</v>
      </c>
    </row>
    <row r="5" spans="1:6" ht="15.6" x14ac:dyDescent="0.3">
      <c r="C5" t="s">
        <v>24</v>
      </c>
      <c r="E5">
        <f>(E6 * 12)</f>
        <v>14579.687499999996</v>
      </c>
      <c r="F5" t="s">
        <v>25</v>
      </c>
    </row>
    <row r="6" spans="1:6" ht="15.6" x14ac:dyDescent="0.3">
      <c r="C6" t="s">
        <v>26</v>
      </c>
      <c r="E6">
        <f>(E7 * 30)</f>
        <v>1214.973958333333</v>
      </c>
      <c r="F6" t="s">
        <v>8</v>
      </c>
    </row>
    <row r="7" spans="1:6" ht="15.6" x14ac:dyDescent="0.3">
      <c r="C7" t="s">
        <v>27</v>
      </c>
      <c r="E7">
        <f>(Inputs!D11 * Inputs!D9)</f>
        <v>40.499131944444436</v>
      </c>
      <c r="F7" t="s">
        <v>10</v>
      </c>
    </row>
    <row r="8" spans="1:6" ht="15.6" x14ac:dyDescent="0.3">
      <c r="C8" t="s">
        <v>28</v>
      </c>
      <c r="E8">
        <f>(Inputs!D11 * 1000) / Inputs!D12</f>
        <v>4.4097486873306222</v>
      </c>
    </row>
    <row r="9" spans="1:6" ht="15.6" x14ac:dyDescent="0.3">
      <c r="C9" t="s">
        <v>29</v>
      </c>
      <c r="E9">
        <f>(Inputs!D11 * 1.5)</f>
        <v>9.4919840494791643</v>
      </c>
      <c r="F9" t="s">
        <v>17</v>
      </c>
    </row>
    <row r="11" spans="1:6" ht="15.6" x14ac:dyDescent="0.3">
      <c r="C11" t="s">
        <v>30</v>
      </c>
      <c r="E11">
        <f>(E5 - Inputs!D5)</f>
        <v>7914.6874999999964</v>
      </c>
      <c r="F11" t="s">
        <v>6</v>
      </c>
    </row>
    <row r="14" spans="1:6" ht="15.6" x14ac:dyDescent="0.3">
      <c r="C14" t="s">
        <v>31</v>
      </c>
      <c r="E14">
        <f>E5 * Inputs!D15</f>
        <v>7289.8437499999982</v>
      </c>
      <c r="F14" t="s">
        <v>32</v>
      </c>
    </row>
    <row r="15" spans="1:6" ht="15.6" x14ac:dyDescent="0.3">
      <c r="C15" t="s">
        <v>33</v>
      </c>
      <c r="E15">
        <f>E14 * 25</f>
        <v>182246.09374999994</v>
      </c>
      <c r="F15" t="s">
        <v>32</v>
      </c>
    </row>
  </sheetData>
  <pageMargins left="0.7" right="0.7" top="0.75" bottom="0.75" header="0.3" footer="0.3"/>
  <ignoredErrors>
    <ignoredError sqref="A1:F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4" x14ac:dyDescent="0.3"/>
  <sheetData>
    <row r="1" spans="1:8" ht="15.6" x14ac:dyDescent="0.3">
      <c r="A1" t="s">
        <v>0</v>
      </c>
      <c r="D1" t="s">
        <v>34</v>
      </c>
    </row>
    <row r="3" spans="1:8" ht="15.6" x14ac:dyDescent="0.3">
      <c r="C3" t="s">
        <v>2</v>
      </c>
      <c r="D3" t="s">
        <v>23</v>
      </c>
      <c r="E3" t="s">
        <v>4</v>
      </c>
      <c r="F3" t="s">
        <v>35</v>
      </c>
      <c r="G3" t="s">
        <v>23</v>
      </c>
      <c r="H3" t="s">
        <v>4</v>
      </c>
    </row>
    <row r="5" spans="1:8" ht="15.6" x14ac:dyDescent="0.3">
      <c r="C5" t="s">
        <v>36</v>
      </c>
      <c r="D5">
        <f>(Inputs!D11 * G14)</f>
        <v>1107398.1391059025</v>
      </c>
      <c r="E5" t="s">
        <v>37</v>
      </c>
      <c r="F5" t="s">
        <v>38</v>
      </c>
      <c r="G5">
        <f>(Inputs!D5 * G12)</f>
        <v>266600</v>
      </c>
      <c r="H5" t="s">
        <v>39</v>
      </c>
    </row>
    <row r="6" spans="1:8" ht="15.6" x14ac:dyDescent="0.3">
      <c r="C6" t="s">
        <v>40</v>
      </c>
      <c r="D6">
        <v>140000</v>
      </c>
      <c r="E6" t="s">
        <v>37</v>
      </c>
      <c r="F6" t="s">
        <v>41</v>
      </c>
      <c r="G6">
        <f>(Technical!E11 * G13)</f>
        <v>158293.74999999994</v>
      </c>
      <c r="H6" t="s">
        <v>39</v>
      </c>
    </row>
    <row r="7" spans="1:8" ht="15.6" x14ac:dyDescent="0.3">
      <c r="C7" t="s">
        <v>42</v>
      </c>
      <c r="D7">
        <v>60000</v>
      </c>
      <c r="E7" t="s">
        <v>37</v>
      </c>
      <c r="F7" t="s">
        <v>43</v>
      </c>
      <c r="G7">
        <f>SUM(G5:G6)</f>
        <v>424893.74999999994</v>
      </c>
      <c r="H7" t="s">
        <v>39</v>
      </c>
    </row>
    <row r="8" spans="1:8" ht="15.6" x14ac:dyDescent="0.3">
      <c r="C8" t="s">
        <v>44</v>
      </c>
      <c r="D8">
        <v>65000</v>
      </c>
      <c r="E8" t="s">
        <v>37</v>
      </c>
      <c r="F8" t="s">
        <v>45</v>
      </c>
      <c r="G8">
        <f>D10/G7</f>
        <v>3.3241207692650283</v>
      </c>
      <c r="H8" t="s">
        <v>46</v>
      </c>
    </row>
    <row r="9" spans="1:8" ht="15.6" x14ac:dyDescent="0.3">
      <c r="C9" t="s">
        <v>47</v>
      </c>
      <c r="D9">
        <v>40000</v>
      </c>
      <c r="E9" t="s">
        <v>37</v>
      </c>
      <c r="F9" t="s">
        <v>48</v>
      </c>
      <c r="G9">
        <f>(1/G8) * 100</f>
        <v>30.083142864304012</v>
      </c>
      <c r="H9" t="s">
        <v>49</v>
      </c>
    </row>
    <row r="10" spans="1:8" ht="15.6" x14ac:dyDescent="0.3">
      <c r="C10" t="s">
        <v>50</v>
      </c>
      <c r="D10">
        <f>SUM(D5:D9)</f>
        <v>1412398.1391059025</v>
      </c>
      <c r="E10" t="s">
        <v>37</v>
      </c>
      <c r="F10" t="str">
        <f>"This system covers initial investment in "&amp; ROUND(G8,1) &amp;" Years &amp; gives free electricity in next "&amp; ROUND(D12-G8,1) &amp;" Years."</f>
        <v>This system covers initial investment in 3.3 Years &amp; gives free electricity in next 21.7 Years.</v>
      </c>
    </row>
    <row r="11" spans="1:8" ht="15.6" x14ac:dyDescent="0.3">
      <c r="F11" t="s">
        <v>51</v>
      </c>
      <c r="G11" t="s">
        <v>52</v>
      </c>
    </row>
    <row r="12" spans="1:8" ht="15.6" x14ac:dyDescent="0.3">
      <c r="C12" t="s">
        <v>53</v>
      </c>
      <c r="D12">
        <v>25</v>
      </c>
      <c r="E12" t="s">
        <v>46</v>
      </c>
      <c r="F12" t="s">
        <v>54</v>
      </c>
      <c r="G12">
        <v>40</v>
      </c>
    </row>
    <row r="13" spans="1:8" ht="15.6" x14ac:dyDescent="0.3">
      <c r="F13" t="s">
        <v>55</v>
      </c>
      <c r="G13">
        <v>20</v>
      </c>
    </row>
    <row r="14" spans="1:8" ht="15.6" x14ac:dyDescent="0.3">
      <c r="F14" t="s">
        <v>56</v>
      </c>
      <c r="G14">
        <v>175000</v>
      </c>
    </row>
  </sheetData>
  <pageMargins left="0.7" right="0.7" top="0.75" bottom="0.75" header="0.3" footer="0.3"/>
  <ignoredErrors>
    <ignoredError sqref="A1:H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4" x14ac:dyDescent="0.3"/>
  <sheetData>
    <row r="1" spans="1:3" ht="15.6" x14ac:dyDescent="0.3">
      <c r="A1" t="s">
        <v>0</v>
      </c>
      <c r="B1" t="e">
        <v>#VALUE!</v>
      </c>
    </row>
    <row r="3" spans="1:3" ht="15.6" x14ac:dyDescent="0.3">
      <c r="A3" t="s">
        <v>57</v>
      </c>
    </row>
    <row r="4" spans="1:3" ht="15.6" x14ac:dyDescent="0.3">
      <c r="A4" t="s">
        <v>2</v>
      </c>
      <c r="B4" t="s">
        <v>3</v>
      </c>
      <c r="C4" t="s">
        <v>4</v>
      </c>
    </row>
    <row r="5" spans="1:3" ht="15.6" x14ac:dyDescent="0.3">
      <c r="A5" t="s">
        <v>58</v>
      </c>
      <c r="B5">
        <f>Technical!E14</f>
        <v>7289.8437499999982</v>
      </c>
      <c r="C5" t="s">
        <v>59</v>
      </c>
    </row>
    <row r="6" spans="1:3" ht="15.6" x14ac:dyDescent="0.3">
      <c r="A6" t="s">
        <v>60</v>
      </c>
      <c r="B6">
        <f>Technical!E15</f>
        <v>182246.09374999994</v>
      </c>
      <c r="C6" t="s">
        <v>32</v>
      </c>
    </row>
    <row r="7" spans="1:3" ht="15.6" x14ac:dyDescent="0.3">
      <c r="A7" t="s">
        <v>61</v>
      </c>
      <c r="B7">
        <v>21</v>
      </c>
      <c r="C7" t="s">
        <v>59</v>
      </c>
    </row>
    <row r="8" spans="1:3" ht="15.6" x14ac:dyDescent="0.3">
      <c r="A8" t="s">
        <v>62</v>
      </c>
      <c r="B8">
        <f>B5/B7</f>
        <v>347.13541666666657</v>
      </c>
      <c r="C8" t="s">
        <v>63</v>
      </c>
    </row>
    <row r="9" spans="1:3" ht="15.6" x14ac:dyDescent="0.3">
      <c r="A9" t="s">
        <v>64</v>
      </c>
      <c r="B9" t="str">
        <f>"The PV Solar System will reduce "&amp; ROUND(B5,1) &amp;" kg/Year that enhances the sustainable environment. Reduction of Carbon dioxide annually will implant total "&amp; ROUND(B8,1) &amp;" trees."</f>
        <v>The PV Solar System will reduce 7289.8 kg/Year that enhances the sustainable environment. Reduction of Carbon dioxide annually will implant total 347.1 trees.</v>
      </c>
    </row>
  </sheetData>
  <pageMargins left="0.7" right="0.7" top="0.75" bottom="0.75" header="0.3" footer="0.3"/>
  <ignoredErrors>
    <ignoredError sqref="A1:C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workbookViewId="0"/>
  </sheetViews>
  <sheetFormatPr defaultRowHeight="14.4" x14ac:dyDescent="0.3"/>
  <sheetData>
    <row r="1" spans="1:11" ht="15.6" x14ac:dyDescent="0.3">
      <c r="A1" t="s">
        <v>0</v>
      </c>
      <c r="B1" t="e">
        <v>#VALUE!</v>
      </c>
      <c r="D1" t="s">
        <v>65</v>
      </c>
      <c r="E1" t="str">
        <f>IF(Financial!G8&lt;=6, "Highly Recommended", IF(Financial!G8&lt;=8.8, "Moderate", "Not Recommended"))</f>
        <v>Highly Recommended</v>
      </c>
      <c r="K1" t="s">
        <v>66</v>
      </c>
    </row>
    <row r="2" spans="1:11" ht="15.6" x14ac:dyDescent="0.3">
      <c r="C2" t="s">
        <v>67</v>
      </c>
    </row>
    <row r="3" spans="1:11" ht="15.6" x14ac:dyDescent="0.3">
      <c r="A3" t="s">
        <v>68</v>
      </c>
      <c r="B3">
        <f ca="1">TODAY()</f>
        <v>46075</v>
      </c>
    </row>
    <row r="4" spans="1:11" ht="15.6" x14ac:dyDescent="0.3">
      <c r="A4" t="s">
        <v>69</v>
      </c>
      <c r="E4" t="s">
        <v>70</v>
      </c>
      <c r="I4" t="s">
        <v>71</v>
      </c>
    </row>
    <row r="5" spans="1:11" ht="15.6" x14ac:dyDescent="0.3">
      <c r="A5" t="s">
        <v>2</v>
      </c>
      <c r="B5" t="s">
        <v>3</v>
      </c>
      <c r="C5" t="s">
        <v>4</v>
      </c>
      <c r="E5" t="s">
        <v>72</v>
      </c>
      <c r="F5" t="s">
        <v>3</v>
      </c>
      <c r="G5" t="s">
        <v>4</v>
      </c>
      <c r="I5" t="s">
        <v>72</v>
      </c>
      <c r="J5" t="s">
        <v>3</v>
      </c>
      <c r="K5" t="s">
        <v>4</v>
      </c>
    </row>
    <row r="6" spans="1:11" ht="15.6" x14ac:dyDescent="0.3">
      <c r="A6" t="s">
        <v>73</v>
      </c>
      <c r="B6">
        <f>Inputs!D5</f>
        <v>6665</v>
      </c>
      <c r="C6" t="s">
        <v>6</v>
      </c>
      <c r="E6" t="s">
        <v>74</v>
      </c>
      <c r="F6">
        <f>Inputs!D12</f>
        <v>1435</v>
      </c>
      <c r="G6" t="s">
        <v>19</v>
      </c>
      <c r="I6" t="s">
        <v>75</v>
      </c>
      <c r="J6">
        <f>Technical!E5</f>
        <v>14579.687499999996</v>
      </c>
      <c r="K6" t="s">
        <v>6</v>
      </c>
    </row>
    <row r="7" spans="1:11" ht="15.6" x14ac:dyDescent="0.3">
      <c r="A7" t="s">
        <v>7</v>
      </c>
      <c r="B7">
        <f>Inputs!D6</f>
        <v>555.41666666666663</v>
      </c>
      <c r="C7" t="s">
        <v>8</v>
      </c>
      <c r="E7" t="s">
        <v>76</v>
      </c>
      <c r="F7">
        <f>Inputs!D11</f>
        <v>6.3279893663194429</v>
      </c>
      <c r="G7" t="s">
        <v>17</v>
      </c>
      <c r="I7" t="s">
        <v>77</v>
      </c>
      <c r="J7">
        <f>Technical!E6</f>
        <v>1214.973958333333</v>
      </c>
      <c r="K7" t="s">
        <v>8</v>
      </c>
    </row>
    <row r="8" spans="1:11" ht="15.6" x14ac:dyDescent="0.3">
      <c r="A8" t="s">
        <v>78</v>
      </c>
      <c r="B8">
        <f>Inputs!D7</f>
        <v>18.513888888888889</v>
      </c>
      <c r="C8" t="s">
        <v>10</v>
      </c>
      <c r="E8" t="s">
        <v>79</v>
      </c>
      <c r="F8">
        <f>Technical!E8</f>
        <v>4.4097486873306222</v>
      </c>
      <c r="I8" t="s">
        <v>80</v>
      </c>
      <c r="J8">
        <f>Technical!E7</f>
        <v>40.499131944444436</v>
      </c>
      <c r="K8" t="s">
        <v>10</v>
      </c>
    </row>
    <row r="9" spans="1:11" ht="15.6" x14ac:dyDescent="0.3">
      <c r="A9" t="s">
        <v>11</v>
      </c>
      <c r="B9" t="s">
        <v>81</v>
      </c>
      <c r="E9" t="s">
        <v>82</v>
      </c>
      <c r="F9">
        <f>Financial!G14</f>
        <v>175000</v>
      </c>
      <c r="G9" t="s">
        <v>37</v>
      </c>
    </row>
    <row r="10" spans="1:11" ht="15.6" x14ac:dyDescent="0.3">
      <c r="A10" t="s">
        <v>13</v>
      </c>
      <c r="B10">
        <f>Inputs!D9</f>
        <v>6.4</v>
      </c>
      <c r="C10" t="s">
        <v>14</v>
      </c>
      <c r="E10" t="s">
        <v>83</v>
      </c>
      <c r="F10">
        <f>Financial!D5</f>
        <v>1107398.1391059025</v>
      </c>
      <c r="G10" t="s">
        <v>37</v>
      </c>
      <c r="I10" t="s">
        <v>84</v>
      </c>
      <c r="J10">
        <f>Technical!E11</f>
        <v>7914.6874999999964</v>
      </c>
      <c r="K10" t="s">
        <v>6</v>
      </c>
    </row>
    <row r="11" spans="1:11" ht="15.6" x14ac:dyDescent="0.3">
      <c r="A11" t="s">
        <v>15</v>
      </c>
      <c r="B11">
        <f>Inputs!D10</f>
        <v>0.8</v>
      </c>
      <c r="E11" t="s">
        <v>29</v>
      </c>
      <c r="F11">
        <f>Technical!E9</f>
        <v>9.4919840494791643</v>
      </c>
      <c r="G11" t="s">
        <v>17</v>
      </c>
    </row>
    <row r="14" spans="1:11" ht="15.6" x14ac:dyDescent="0.3">
      <c r="A14" t="s">
        <v>85</v>
      </c>
    </row>
    <row r="15" spans="1:11" ht="15.6" x14ac:dyDescent="0.3">
      <c r="A15" t="s">
        <v>2</v>
      </c>
      <c r="B15" t="s">
        <v>3</v>
      </c>
      <c r="C15" t="s">
        <v>4</v>
      </c>
    </row>
    <row r="16" spans="1:11" ht="15.6" x14ac:dyDescent="0.3">
      <c r="A16" t="s">
        <v>86</v>
      </c>
      <c r="B16">
        <f>Financial!D10</f>
        <v>1412398.1391059025</v>
      </c>
      <c r="C16" t="s">
        <v>37</v>
      </c>
    </row>
    <row r="17" spans="1:6" ht="15.6" x14ac:dyDescent="0.3">
      <c r="A17" t="s">
        <v>87</v>
      </c>
      <c r="B17">
        <f>Financial!G12</f>
        <v>40</v>
      </c>
      <c r="C17" t="s">
        <v>88</v>
      </c>
    </row>
    <row r="18" spans="1:6" ht="15.6" x14ac:dyDescent="0.3">
      <c r="A18" t="s">
        <v>89</v>
      </c>
      <c r="B18">
        <f>Financial!G5</f>
        <v>266600</v>
      </c>
      <c r="C18" t="s">
        <v>37</v>
      </c>
    </row>
    <row r="19" spans="1:6" ht="15.6" x14ac:dyDescent="0.3">
      <c r="A19" t="s">
        <v>90</v>
      </c>
      <c r="B19">
        <f>Financial!G13</f>
        <v>20</v>
      </c>
      <c r="C19" t="s">
        <v>88</v>
      </c>
    </row>
    <row r="20" spans="1:6" ht="15.6" x14ac:dyDescent="0.3">
      <c r="A20" t="s">
        <v>91</v>
      </c>
      <c r="B20">
        <f>Financial!G6</f>
        <v>158293.74999999994</v>
      </c>
      <c r="C20" t="s">
        <v>37</v>
      </c>
    </row>
    <row r="21" spans="1:6" ht="15.6" x14ac:dyDescent="0.3">
      <c r="A21" t="s">
        <v>92</v>
      </c>
      <c r="B21">
        <f>Financial!G7</f>
        <v>424893.74999999994</v>
      </c>
      <c r="C21" t="s">
        <v>37</v>
      </c>
    </row>
    <row r="23" spans="1:6" ht="15.6" x14ac:dyDescent="0.3">
      <c r="A23" t="s">
        <v>45</v>
      </c>
      <c r="B23">
        <f>Financial!G8</f>
        <v>3.3241207692650283</v>
      </c>
      <c r="C23" t="s">
        <v>46</v>
      </c>
    </row>
    <row r="24" spans="1:6" ht="15.6" x14ac:dyDescent="0.3">
      <c r="A24" t="s">
        <v>48</v>
      </c>
      <c r="B24">
        <f>Financial!G9</f>
        <v>30.083142864304012</v>
      </c>
      <c r="C24" t="s">
        <v>49</v>
      </c>
    </row>
    <row r="26" spans="1:6" ht="15.6" x14ac:dyDescent="0.3">
      <c r="A26" t="s">
        <v>93</v>
      </c>
      <c r="B26">
        <f>(B8/J8) * 100</f>
        <v>45.714285714285722</v>
      </c>
      <c r="C26" t="s">
        <v>94</v>
      </c>
    </row>
    <row r="28" spans="1:6" ht="15.6" x14ac:dyDescent="0.3">
      <c r="A28" t="s">
        <v>57</v>
      </c>
      <c r="E28" t="s">
        <v>95</v>
      </c>
      <c r="F28" t="s">
        <v>96</v>
      </c>
    </row>
    <row r="29" spans="1:6" ht="15.6" x14ac:dyDescent="0.3">
      <c r="A29" t="s">
        <v>2</v>
      </c>
      <c r="B29" t="s">
        <v>3</v>
      </c>
      <c r="C29" t="s">
        <v>4</v>
      </c>
    </row>
    <row r="30" spans="1:6" ht="15.6" x14ac:dyDescent="0.3">
      <c r="A30" t="s">
        <v>58</v>
      </c>
      <c r="B30">
        <f>Technical!E14</f>
        <v>7289.8437499999982</v>
      </c>
      <c r="C30" t="s">
        <v>32</v>
      </c>
    </row>
    <row r="31" spans="1:6" ht="15.6" x14ac:dyDescent="0.3">
      <c r="A31" t="s">
        <v>60</v>
      </c>
      <c r="B31">
        <f>Technical!E15</f>
        <v>182246.09374999994</v>
      </c>
      <c r="C31" t="s">
        <v>32</v>
      </c>
    </row>
  </sheetData>
  <pageMargins left="0.25" right="0.25" top="0.75" bottom="0.75" header="0.3" footer="0.3"/>
  <ignoredErrors>
    <ignoredError sqref="A1:K3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topLeftCell="A19" workbookViewId="0">
      <selection activeCell="B34" sqref="B34"/>
    </sheetView>
  </sheetViews>
  <sheetFormatPr defaultRowHeight="14.4" x14ac:dyDescent="0.3"/>
  <cols>
    <col min="2" max="2" width="17.296875" customWidth="1"/>
  </cols>
  <sheetData>
    <row r="1" spans="1:3" ht="15.6" x14ac:dyDescent="0.3">
      <c r="A1" t="s">
        <v>0</v>
      </c>
      <c r="B1" t="e">
        <v>#VALUE!</v>
      </c>
    </row>
    <row r="3" spans="1:3" ht="15.6" x14ac:dyDescent="0.3">
      <c r="A3" t="s">
        <v>97</v>
      </c>
      <c r="C3" t="s">
        <v>98</v>
      </c>
    </row>
    <row r="6" spans="1:3" ht="15.6" x14ac:dyDescent="0.3">
      <c r="A6" t="s">
        <v>51</v>
      </c>
      <c r="B6" t="s">
        <v>3</v>
      </c>
      <c r="C6" t="s">
        <v>99</v>
      </c>
    </row>
    <row r="7" spans="1:3" ht="15.6" x14ac:dyDescent="0.3">
      <c r="A7" t="s">
        <v>100</v>
      </c>
      <c r="B7">
        <v>0.1</v>
      </c>
      <c r="C7" t="s">
        <v>101</v>
      </c>
    </row>
    <row r="8" spans="1:3" ht="15.6" x14ac:dyDescent="0.3">
      <c r="A8" t="s">
        <v>102</v>
      </c>
      <c r="B8">
        <f>Financial!G7</f>
        <v>424893.74999999994</v>
      </c>
    </row>
    <row r="9" spans="1:3" ht="15.6" x14ac:dyDescent="0.3">
      <c r="A9" t="s">
        <v>103</v>
      </c>
      <c r="B9">
        <f>(B8/10)</f>
        <v>42489.374999999993</v>
      </c>
    </row>
    <row r="10" spans="1:3" ht="15.6" x14ac:dyDescent="0.3">
      <c r="A10" t="s">
        <v>104</v>
      </c>
      <c r="B10">
        <f>Financial!D10</f>
        <v>1412398.1391059025</v>
      </c>
    </row>
    <row r="11" spans="1:3" ht="15.6" x14ac:dyDescent="0.3">
      <c r="A11" t="s">
        <v>105</v>
      </c>
      <c r="B11">
        <f>(B8 - B9)</f>
        <v>382404.37499999994</v>
      </c>
    </row>
    <row r="12" spans="1:3" ht="15.6" x14ac:dyDescent="0.3">
      <c r="A12" t="s">
        <v>106</v>
      </c>
      <c r="B12">
        <f>(B11 / (1+B7)^32) - B10</f>
        <v>-1394286.5345544254</v>
      </c>
    </row>
    <row r="14" spans="1:3" ht="15.6" x14ac:dyDescent="0.3">
      <c r="A14" t="s">
        <v>107</v>
      </c>
      <c r="B14" t="str">
        <f>IF(B12&gt;0, "Feasible", IF(B12=0, "Break Even", "Not Feasible"))</f>
        <v>Not Feasible</v>
      </c>
    </row>
    <row r="16" spans="1:3" ht="15.6" x14ac:dyDescent="0.3">
      <c r="A16" t="s">
        <v>108</v>
      </c>
      <c r="C16" t="s">
        <v>109</v>
      </c>
    </row>
    <row r="18" spans="1:3" ht="15.6" x14ac:dyDescent="0.3">
      <c r="A18" t="s">
        <v>110</v>
      </c>
      <c r="B18">
        <v>0</v>
      </c>
    </row>
    <row r="19" spans="1:3" ht="15.6" x14ac:dyDescent="0.3">
      <c r="A19" t="s">
        <v>111</v>
      </c>
      <c r="B19">
        <f>B11</f>
        <v>382404.37499999994</v>
      </c>
    </row>
    <row r="20" spans="1:3" ht="15.6" x14ac:dyDescent="0.3">
      <c r="A20" t="s">
        <v>104</v>
      </c>
      <c r="B20">
        <f>B10</f>
        <v>1412398.1391059025</v>
      </c>
    </row>
    <row r="21" spans="1:3" ht="15.6" x14ac:dyDescent="0.3">
      <c r="A21" t="s">
        <v>112</v>
      </c>
      <c r="B21">
        <f>(((B19/B20)^(1/32)) - 1) * 100</f>
        <v>-4.0007856963449555</v>
      </c>
    </row>
    <row r="23" spans="1:3" ht="15.6" x14ac:dyDescent="0.3">
      <c r="A23" t="s">
        <v>107</v>
      </c>
      <c r="B23" t="str">
        <f>IF(B21&gt;B7, "Feasible", IF(B21=B7, "Break Even", "Not Feasible"))</f>
        <v>Not Feasible</v>
      </c>
    </row>
    <row r="25" spans="1:3" ht="15.6" x14ac:dyDescent="0.3">
      <c r="A25" t="s">
        <v>113</v>
      </c>
      <c r="C25" t="s">
        <v>114</v>
      </c>
    </row>
    <row r="26" spans="1:3" ht="15.6" x14ac:dyDescent="0.3">
      <c r="A26" t="s">
        <v>51</v>
      </c>
      <c r="B26" t="s">
        <v>3</v>
      </c>
      <c r="C26" t="s">
        <v>4</v>
      </c>
    </row>
    <row r="27" spans="1:3" ht="15.6" x14ac:dyDescent="0.3">
      <c r="A27" t="s">
        <v>115</v>
      </c>
      <c r="B27">
        <f>Financial!D12</f>
        <v>25</v>
      </c>
      <c r="C27" t="s">
        <v>46</v>
      </c>
    </row>
    <row r="28" spans="1:3" ht="15.6" x14ac:dyDescent="0.3">
      <c r="A28" t="s">
        <v>116</v>
      </c>
      <c r="B28">
        <f>Technical!E5</f>
        <v>14579.687499999996</v>
      </c>
      <c r="C28" t="s">
        <v>25</v>
      </c>
    </row>
    <row r="29" spans="1:3" ht="15.6" x14ac:dyDescent="0.3">
      <c r="A29" t="s">
        <v>117</v>
      </c>
      <c r="B29">
        <f>(B28 * B27)</f>
        <v>364492.18749999988</v>
      </c>
      <c r="C29" t="s">
        <v>118</v>
      </c>
    </row>
    <row r="31" spans="1:3" ht="15.6" x14ac:dyDescent="0.3">
      <c r="A31" t="s">
        <v>119</v>
      </c>
      <c r="B31">
        <f>(B20/B29)</f>
        <v>3.8749750681718056</v>
      </c>
      <c r="C31" t="s">
        <v>37</v>
      </c>
    </row>
    <row r="32" spans="1:3" ht="15.6" x14ac:dyDescent="0.3">
      <c r="A32" t="s">
        <v>120</v>
      </c>
    </row>
    <row r="33" spans="1:3" ht="15.6" x14ac:dyDescent="0.3">
      <c r="A33" t="s">
        <v>51</v>
      </c>
      <c r="B33" t="s">
        <v>3</v>
      </c>
      <c r="C33" t="s">
        <v>4</v>
      </c>
    </row>
    <row r="34" spans="1:3" ht="15.6" x14ac:dyDescent="0.3">
      <c r="A34" t="s">
        <v>121</v>
      </c>
      <c r="B34">
        <v>40</v>
      </c>
      <c r="C34" t="s">
        <v>37</v>
      </c>
    </row>
    <row r="36" spans="1:3" ht="15.6" x14ac:dyDescent="0.3">
      <c r="A36" t="s">
        <v>107</v>
      </c>
      <c r="B36" t="str">
        <f>IF(B31&lt;B34, "Feasible", IF(B31=B34, "Break Even", "Not Feasible"))</f>
        <v>Feasible</v>
      </c>
    </row>
    <row r="38" spans="1:3" ht="15.6" x14ac:dyDescent="0.3">
      <c r="A38" t="s">
        <v>122</v>
      </c>
    </row>
    <row r="39" spans="1:3" ht="15.6" x14ac:dyDescent="0.3">
      <c r="A39" t="s">
        <v>51</v>
      </c>
      <c r="B39" t="s">
        <v>3</v>
      </c>
      <c r="C39" t="s">
        <v>4</v>
      </c>
    </row>
    <row r="40" spans="1:3" ht="15.6" x14ac:dyDescent="0.3">
      <c r="A40" t="s">
        <v>123</v>
      </c>
      <c r="B40">
        <v>1000</v>
      </c>
      <c r="C40" t="s">
        <v>32</v>
      </c>
    </row>
    <row r="41" spans="1:3" ht="15.6" x14ac:dyDescent="0.3">
      <c r="A41" t="s">
        <v>124</v>
      </c>
      <c r="B41">
        <f>Technical!E5 * Inputs!D15</f>
        <v>7289.8437499999982</v>
      </c>
      <c r="C41" t="s">
        <v>125</v>
      </c>
    </row>
    <row r="42" spans="1:3" ht="15.6" x14ac:dyDescent="0.3">
      <c r="A42" t="s">
        <v>126</v>
      </c>
      <c r="B42">
        <f>Feasible!B41 * 25</f>
        <v>182246.09374999994</v>
      </c>
      <c r="C42" t="s">
        <v>127</v>
      </c>
    </row>
    <row r="43" spans="1:3" ht="15.6" x14ac:dyDescent="0.3">
      <c r="A43" t="s">
        <v>128</v>
      </c>
      <c r="B43">
        <v>2800</v>
      </c>
      <c r="C43" t="s">
        <v>37</v>
      </c>
    </row>
    <row r="44" spans="1:3" ht="15.6" x14ac:dyDescent="0.3">
      <c r="A44" t="s">
        <v>129</v>
      </c>
    </row>
    <row r="45" spans="1:3" ht="15.6" x14ac:dyDescent="0.3">
      <c r="A45" t="s">
        <v>130</v>
      </c>
      <c r="B45">
        <f>(B41/B40)</f>
        <v>7.2898437499999984</v>
      </c>
      <c r="C45" t="s">
        <v>131</v>
      </c>
    </row>
    <row r="46" spans="1:3" ht="15.6" x14ac:dyDescent="0.3">
      <c r="A46" t="s">
        <v>132</v>
      </c>
      <c r="B46">
        <f>(B45 * B43)</f>
        <v>20411.562499999996</v>
      </c>
      <c r="C46" t="s">
        <v>39</v>
      </c>
    </row>
    <row r="47" spans="1:3" ht="15.6" x14ac:dyDescent="0.3">
      <c r="A47" t="s">
        <v>133</v>
      </c>
    </row>
    <row r="48" spans="1:3" ht="15.6" x14ac:dyDescent="0.3">
      <c r="A48" t="s">
        <v>134</v>
      </c>
      <c r="B48">
        <f>(B42/B40)</f>
        <v>182.24609374999994</v>
      </c>
      <c r="C48" t="s">
        <v>131</v>
      </c>
    </row>
    <row r="49" spans="1:3" ht="15.6" x14ac:dyDescent="0.3">
      <c r="A49" t="s">
        <v>132</v>
      </c>
      <c r="B49">
        <f>(B48 * B43)</f>
        <v>510289.06249999983</v>
      </c>
      <c r="C49" t="s">
        <v>135</v>
      </c>
    </row>
  </sheetData>
  <pageMargins left="0.7" right="0.7" top="0.75" bottom="0.75" header="0.3" footer="0.3"/>
  <ignoredErrors>
    <ignoredError sqref="A1:C5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tabSelected="1" workbookViewId="0">
      <selection activeCell="C11" sqref="C11"/>
    </sheetView>
  </sheetViews>
  <sheetFormatPr defaultRowHeight="14.4" x14ac:dyDescent="0.3"/>
  <cols>
    <col min="1" max="1" width="32.5" customWidth="1"/>
    <col min="2" max="2" width="41.19921875" customWidth="1"/>
    <col min="3" max="3" width="29.3984375" customWidth="1"/>
    <col min="4" max="4" width="31" customWidth="1"/>
  </cols>
  <sheetData>
    <row r="1" spans="1:4" ht="15.6" x14ac:dyDescent="0.3">
      <c r="A1" t="s">
        <v>0</v>
      </c>
      <c r="B1" t="e">
        <v>#VALUE!</v>
      </c>
    </row>
    <row r="4" spans="1:4" ht="15.6" x14ac:dyDescent="0.3">
      <c r="B4" t="s">
        <v>136</v>
      </c>
    </row>
    <row r="5" spans="1:4" ht="15.6" x14ac:dyDescent="0.3">
      <c r="A5" t="s">
        <v>137</v>
      </c>
      <c r="B5" t="s">
        <v>52</v>
      </c>
      <c r="C5" t="s">
        <v>4</v>
      </c>
      <c r="D5" t="s">
        <v>138</v>
      </c>
    </row>
    <row r="6" spans="1:4" ht="15.6" x14ac:dyDescent="0.3">
      <c r="A6" t="s">
        <v>139</v>
      </c>
      <c r="B6">
        <f>Environmental!B5</f>
        <v>7289.8437499999982</v>
      </c>
      <c r="C6" t="s">
        <v>140</v>
      </c>
      <c r="D6">
        <f>IF(B6&lt;200, 25, IF(B6&lt;=500, 50, IF(B6&lt;=1000, 75, 100)))</f>
        <v>100</v>
      </c>
    </row>
    <row r="7" spans="1:4" ht="15.6" x14ac:dyDescent="0.3">
      <c r="A7" t="s">
        <v>141</v>
      </c>
      <c r="B7">
        <f>Environmental!B6</f>
        <v>182246.09374999994</v>
      </c>
      <c r="C7" t="s">
        <v>142</v>
      </c>
      <c r="D7">
        <f>IF(B7&lt;5000, 25, IF(B7&lt;=7500, 50, IF(B7&lt;=10000, 75, 100)))</f>
        <v>100</v>
      </c>
    </row>
    <row r="8" spans="1:4" ht="15.6" x14ac:dyDescent="0.3">
      <c r="A8" t="s">
        <v>143</v>
      </c>
      <c r="B8">
        <f>'Visual Dashboard'!B26</f>
        <v>45.714285714285722</v>
      </c>
      <c r="C8" t="s">
        <v>94</v>
      </c>
      <c r="D8">
        <f>IF(B8&lt;30, 25, IF(B8&lt;=60, 50, IF(B8&lt;=90, 75, 100)))</f>
        <v>50</v>
      </c>
    </row>
    <row r="9" spans="1:4" ht="15.6" x14ac:dyDescent="0.3">
      <c r="A9" t="s">
        <v>144</v>
      </c>
      <c r="B9">
        <f>(Feasible!B31 / Feasible!B34) * 100</f>
        <v>9.6874376704295138</v>
      </c>
      <c r="C9" t="s">
        <v>145</v>
      </c>
      <c r="D9">
        <f>IF(B9&lt;5, 25, IF(B9&lt;=15, 50, IF(B9&lt;=25, 75, 100)))</f>
        <v>50</v>
      </c>
    </row>
    <row r="11" spans="1:4" ht="15.6" x14ac:dyDescent="0.3">
      <c r="B11" t="s">
        <v>146</v>
      </c>
      <c r="C11">
        <f>SUM(D6:D9) / 4</f>
        <v>75</v>
      </c>
      <c r="D11" t="str">
        <f>IF(C11&lt;60, "Low Sustainable", IF(C11&lt;=75, "Moderate Sustainable", "Highly Sustainable"))</f>
        <v>Moderate Sustainable</v>
      </c>
    </row>
  </sheetData>
  <pageMargins left="0.7" right="0.7" top="0.75" bottom="0.75" header="0.3" footer="0.3"/>
  <ignoredErrors>
    <ignoredError sqref="A1:D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Inputs</vt:lpstr>
      <vt:lpstr>Technical</vt:lpstr>
      <vt:lpstr>Financial</vt:lpstr>
      <vt:lpstr>Environmental</vt:lpstr>
      <vt:lpstr>Visual Dashboard</vt:lpstr>
      <vt:lpstr>Feasible</vt:lpstr>
      <vt:lpstr>Scoring</vt:lpstr>
      <vt:lpstr>'Visual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IBTISAAM HAIDER</dc:creator>
  <cp:lastModifiedBy>IBTISAAM HAIDER</cp:lastModifiedBy>
  <cp:lastPrinted>2026-02-18T20:33:03Z</cp:lastPrinted>
  <dcterms:created xsi:type="dcterms:W3CDTF">2026-02-16T11:20:38Z</dcterms:created>
  <dcterms:modified xsi:type="dcterms:W3CDTF">2026-02-21T20:06:23Z</dcterms:modified>
</cp:coreProperties>
</file>