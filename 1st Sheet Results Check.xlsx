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nputs" sheetId="1" r:id="rId1"/>
    <sheet name="Technical" sheetId="2" r:id="rId2"/>
    <sheet name="Financial" sheetId="3" r:id="rId3"/>
    <sheet name="Visual Dashboar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SunEnergy Value</v>
      </c>
      <c r="D1" t="str">
        <v>Input Information</v>
      </c>
    </row>
    <row r="3">
      <c r="C3" t="str">
        <v>Parameters</v>
      </c>
      <c r="D3" t="str">
        <v>Value</v>
      </c>
      <c r="E3" t="str">
        <v>Units</v>
      </c>
    </row>
    <row r="5">
      <c r="C5" t="str">
        <v>Annual Units Consumed</v>
      </c>
      <c r="D5">
        <v>0</v>
      </c>
      <c r="E5" t="str">
        <v>kWh/year</v>
      </c>
    </row>
    <row r="6">
      <c r="C6" t="str">
        <v>Monthly Units Consumed</v>
      </c>
      <c r="D6">
        <f>(D5/12)</f>
        <v>30.416666666666668</v>
      </c>
      <c r="E6" t="str">
        <v>kWh/month</v>
      </c>
    </row>
    <row r="7">
      <c r="C7" t="str">
        <v>Daily Units / Daily Load</v>
      </c>
      <c r="D7">
        <f>(D6/30)</f>
        <v>1.0138888888888888</v>
      </c>
      <c r="E7" t="str">
        <v>kWh/day</v>
      </c>
    </row>
    <row r="8">
      <c r="C8" t="str">
        <v>Location</v>
      </c>
      <c r="D8" t="str">
        <v>Islamabad</v>
      </c>
    </row>
    <row r="9">
      <c r="C9" t="str">
        <v>Peak Sun Hours</v>
      </c>
      <c r="D9">
        <v>0</v>
      </c>
      <c r="E9" t="str">
        <v>hrs.</v>
      </c>
    </row>
    <row r="10">
      <c r="C10" t="str">
        <v>System Efficiency</v>
      </c>
      <c r="D10">
        <v>0.8</v>
      </c>
    </row>
    <row r="11">
      <c r="C11" t="str">
        <v>System Size</v>
      </c>
      <c r="D11">
        <f>(D7/(D9 * D10)) * 1.75</f>
        <v>NaN</v>
      </c>
      <c r="E11" t="str">
        <v>kW</v>
      </c>
    </row>
    <row r="12">
      <c r="C12" t="str">
        <v>Solar Size</v>
      </c>
      <c r="D12">
        <v>0</v>
      </c>
      <c r="E12" t="str">
        <v>W</v>
      </c>
    </row>
  </sheetData>
  <pageMargins left="0.7" right="0.7" top="0.75" bottom="0.75" header="0.3" footer="0.3"/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SunEnergy Value</v>
      </c>
      <c r="D1" t="str">
        <v>Technical Results</v>
      </c>
    </row>
    <row r="3">
      <c r="C3" t="str">
        <v>Parameters</v>
      </c>
      <c r="E3" t="str">
        <v>Results</v>
      </c>
      <c r="F3" t="str">
        <v>Units</v>
      </c>
    </row>
    <row r="5">
      <c r="C5" t="str">
        <v>Annual Energy Production</v>
      </c>
      <c r="E5">
        <f>(E6 * 12)</f>
        <v>NaN</v>
      </c>
      <c r="F5" t="str">
        <v>kWh/Year</v>
      </c>
    </row>
    <row r="6">
      <c r="C6" t="str">
        <v>Monthly Energy Production</v>
      </c>
      <c r="E6">
        <f>(E7 * 30)</f>
        <v>66.53645833333333</v>
      </c>
      <c r="F6" t="str">
        <v>kWh/month</v>
      </c>
    </row>
    <row r="7">
      <c r="C7" t="str">
        <v>Daily Energy Production</v>
      </c>
      <c r="E7">
        <f>(Inputs!D11 * Inputs!D9)</f>
        <v>2.217881944444444</v>
      </c>
      <c r="F7" t="str">
        <v>kWh/day</v>
      </c>
    </row>
    <row r="8">
      <c r="C8" t="str">
        <v>Panels Required</v>
      </c>
      <c r="E8">
        <f>(Inputs!D11 * 1000) / Inputs!D12</f>
        <v>NaN</v>
      </c>
    </row>
    <row r="9">
      <c r="C9" t="str">
        <v>Inverter Size</v>
      </c>
      <c r="E9">
        <f>(Inputs!D11 * 1.5)</f>
        <v>NaN</v>
      </c>
      <c r="F9" t="str">
        <v>kW</v>
      </c>
    </row>
    <row r="11">
      <c r="C11" t="str">
        <v>Excess Units (Export to Grid)</v>
      </c>
      <c r="E11">
        <f>(E5 - Inputs!D5)</f>
        <v>433.4375</v>
      </c>
      <c r="F11" t="str">
        <v>kWh/year</v>
      </c>
    </row>
  </sheetData>
  <pageMargins left="0.7" right="0.7" top="0.75" bottom="0.75" header="0.3" footer="0.3"/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sheetData>
    <row r="1">
      <c r="A1" t="str">
        <v>SunEnergy Value</v>
      </c>
      <c r="D1" t="str">
        <v>Financial Analysis</v>
      </c>
    </row>
    <row r="3">
      <c r="C3" t="str">
        <v>Parameters</v>
      </c>
      <c r="D3" t="str">
        <v>Results</v>
      </c>
      <c r="F3" t="str">
        <v>Items</v>
      </c>
      <c r="G3" t="str">
        <v>Results</v>
      </c>
      <c r="H3" t="str">
        <v>Units</v>
      </c>
    </row>
    <row r="5">
      <c r="C5" t="str">
        <v>Panel Cost</v>
      </c>
      <c r="D5">
        <f>(Inputs!D11 * G14)</f>
        <v>77625.86805555555</v>
      </c>
      <c r="F5" t="str">
        <v>Save Bill Money</v>
      </c>
      <c r="G5">
        <f>(Inputs!D5 * G12)</f>
        <v>14600</v>
      </c>
      <c r="H5" t="str">
        <v>Rs./Year</v>
      </c>
    </row>
    <row r="6">
      <c r="C6" t="str">
        <v>Inverter Cost</v>
      </c>
      <c r="D6">
        <v>140000</v>
      </c>
      <c r="F6" t="str">
        <v>Earn Money by sell units</v>
      </c>
      <c r="G6">
        <f>(Technical!E11 * G13)</f>
        <v>8668.75</v>
      </c>
      <c r="H6" t="str">
        <v>Rs./Year</v>
      </c>
    </row>
    <row r="7">
      <c r="C7" t="str">
        <v>Structure &amp; Frame Cost</v>
      </c>
      <c r="D7">
        <v>60000</v>
      </c>
      <c r="F7" t="str">
        <v>Annual Savings</v>
      </c>
      <c r="G7">
        <f>SUM(G5:G6)</f>
        <v>NaN</v>
      </c>
      <c r="H7" t="str">
        <v>Rs./Year</v>
      </c>
    </row>
    <row r="8">
      <c r="C8" t="str">
        <v>On-Grid (Net Metering)</v>
      </c>
      <c r="D8">
        <v>65000</v>
      </c>
      <c r="F8" t="str">
        <v>Payback Period</v>
      </c>
      <c r="G8">
        <f>D10/G7</f>
        <v>NaN</v>
      </c>
      <c r="H8" t="str">
        <v>Years</v>
      </c>
    </row>
    <row r="9">
      <c r="C9" t="str">
        <v>Total Labor Cost</v>
      </c>
      <c r="D9">
        <v>40000</v>
      </c>
      <c r="F9" t="str">
        <v>ROI</v>
      </c>
      <c r="G9">
        <f>(1/G8) * 100</f>
        <v>NaN</v>
      </c>
      <c r="H9" t="str">
        <v>%/Year</v>
      </c>
    </row>
    <row r="10">
      <c r="C10" t="str">
        <v>Total System Cost</v>
      </c>
      <c r="D10">
        <f>SUM(D5:D9)</f>
        <v>NaN</v>
      </c>
    </row>
    <row r="11">
      <c r="F11" t="str">
        <v>Data</v>
      </c>
      <c r="G11" t="str">
        <v>Values</v>
      </c>
    </row>
    <row r="12">
      <c r="F12" t="str">
        <v>Tarrif Rate. (Rs) / Unit</v>
      </c>
      <c r="G12">
        <v>40</v>
      </c>
    </row>
    <row r="13">
      <c r="F13" t="str">
        <v>Export Rate (Rs) / Unit</v>
      </c>
      <c r="G13">
        <v>20</v>
      </c>
    </row>
    <row r="14">
      <c r="F14" t="str">
        <v>Cost per kW</v>
      </c>
      <c r="G14">
        <v>175000</v>
      </c>
    </row>
  </sheetData>
  <pageMargins left="0.7" right="0.7" top="0.75" bottom="0.75" header="0.3" footer="0.3"/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4"/>
  <sheetViews>
    <sheetView workbookViewId="0" rightToLeft="0"/>
  </sheetViews>
  <sheetData>
    <row r="1">
      <c r="A1" t="str">
        <v>SunEnergy Value</v>
      </c>
      <c r="J1" t="str">
        <v>Graphical Results</v>
      </c>
    </row>
  </sheetData>
  <pageMargins left="0.7" right="0.7" top="0.75" bottom="0.75" header="0.3" footer="0.3"/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Technical</vt:lpstr>
      <vt:lpstr>Financial</vt:lpstr>
      <vt:lpstr>Visual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2026-02-16T11:20:38Z</dcterms:created>
  <dcterms:modified xsi:type="dcterms:W3CDTF">2026-02-17T09:09:47Z</dcterms:modified>
  <cp:lastModifiedBy>IBTISAAM HAIDER</cp:lastModifiedBy>
  <dc:creator>IBTISAAM HAIDER</dc:creator>
</cp:coreProperties>
</file>