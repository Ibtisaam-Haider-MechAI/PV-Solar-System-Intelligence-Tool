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il Laptop\Desktop\"/>
    </mc:Choice>
  </mc:AlternateContent>
  <xr:revisionPtr revIDLastSave="0" documentId="13_ncr:1_{B04736A4-24AC-4A7D-9EBF-4A6498C4917A}" xr6:coauthVersionLast="47" xr6:coauthVersionMax="47" xr10:uidLastSave="{00000000-0000-0000-0000-000000000000}"/>
  <bookViews>
    <workbookView xWindow="-108" yWindow="-108" windowWidth="23256" windowHeight="12576" xr2:uid="{93403265-CE98-418F-BAB8-FBCEC412B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L29" i="1"/>
  <c r="J36" i="1"/>
  <c r="J29" i="1"/>
  <c r="J34" i="1"/>
  <c r="D29" i="1"/>
  <c r="E7" i="1" s="1"/>
  <c r="D27" i="1"/>
  <c r="K5" i="1"/>
  <c r="K11" i="1"/>
  <c r="D18" i="1"/>
  <c r="G32" i="1" s="1"/>
  <c r="D19" i="1"/>
  <c r="D20" i="1" s="1"/>
  <c r="J26" i="1" l="1"/>
  <c r="D31" i="1"/>
  <c r="D33" i="1" s="1"/>
  <c r="D35" i="1" s="1"/>
  <c r="G33" i="1" s="1"/>
  <c r="G35" i="1" s="1"/>
  <c r="J33" i="1" s="1"/>
  <c r="K3" i="1"/>
  <c r="K13" i="1" s="1"/>
  <c r="J27" i="1" s="1"/>
</calcChain>
</file>

<file path=xl/sharedStrings.xml><?xml version="1.0" encoding="utf-8"?>
<sst xmlns="http://schemas.openxmlformats.org/spreadsheetml/2006/main" count="88" uniqueCount="83">
  <si>
    <t>Month</t>
  </si>
  <si>
    <t>Units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</si>
  <si>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</si>
  <si>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</si>
  <si>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</si>
  <si>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</si>
  <si>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</si>
  <si>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</si>
  <si>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</si>
  <si>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</si>
  <si>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</si>
  <si>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</si>
  <si>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</si>
  <si>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</si>
  <si>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Total Units / Year</t>
  </si>
  <si>
    <t>Average Units / Month</t>
  </si>
  <si>
    <t>Daily Units Consume (kWh)</t>
  </si>
  <si>
    <t>Cost Per kW (PAKISTAN)</t>
  </si>
  <si>
    <t xml:space="preserve">Items Required </t>
  </si>
  <si>
    <t>Cost Required (Rs.)</t>
  </si>
  <si>
    <t>On-Grid String Inverter</t>
  </si>
  <si>
    <t>Structure</t>
  </si>
  <si>
    <t>Mounting Structure</t>
  </si>
  <si>
    <t>DC &amp; AC Wiring</t>
  </si>
  <si>
    <t>DC Isolator</t>
  </si>
  <si>
    <t>AC Breaker</t>
  </si>
  <si>
    <t>Earthing &amp; SPD</t>
  </si>
  <si>
    <t>Installation &amp; labor</t>
  </si>
  <si>
    <t>Installation</t>
  </si>
  <si>
    <t>Testing</t>
  </si>
  <si>
    <t>Commissioning</t>
  </si>
  <si>
    <t>Net metering cost (On-Grid only)</t>
  </si>
  <si>
    <t>Application</t>
  </si>
  <si>
    <t>Bi-directional meter</t>
  </si>
  <si>
    <t>Documentation</t>
  </si>
  <si>
    <t>Current Solar Panel Cost</t>
  </si>
  <si>
    <t>Daily Units Consumed = 3.019 kWh/day</t>
  </si>
  <si>
    <t>List Down Milestones</t>
  </si>
  <si>
    <t>Inverter (On-Grid)</t>
  </si>
  <si>
    <t>Structure &amp; Wiring</t>
  </si>
  <si>
    <t>Installation Labor</t>
  </si>
  <si>
    <t>Net Metering (On-Grid)</t>
  </si>
  <si>
    <t>System Size = Daily Units Consume / (Sun Hours * Efficiency)</t>
  </si>
  <si>
    <t xml:space="preserve">3.019 / (5 * 0.80) </t>
  </si>
  <si>
    <t xml:space="preserve">System Size (kW) </t>
  </si>
  <si>
    <t>Expanded System Size (kW) = System Size * Safety Factor</t>
  </si>
  <si>
    <t>Sun Rise Hours (hr.)</t>
  </si>
  <si>
    <t>Country</t>
  </si>
  <si>
    <t>City</t>
  </si>
  <si>
    <t>Factor Of Safety (F.O.S)</t>
  </si>
  <si>
    <t>Value</t>
  </si>
  <si>
    <t>Given Data</t>
  </si>
  <si>
    <t>PAKISTAN</t>
  </si>
  <si>
    <t>Gujranwala</t>
  </si>
  <si>
    <t>1kW (Energy) Generates = ? (kWh) / day</t>
  </si>
  <si>
    <t>How much this system generates energy to cover load (kWh) / day?</t>
  </si>
  <si>
    <t>Energy Generates (kWh) / Year</t>
  </si>
  <si>
    <t>Energy Generates (kWh) / Month</t>
  </si>
  <si>
    <t xml:space="preserve">WAPDA </t>
  </si>
  <si>
    <t>Units Used</t>
  </si>
  <si>
    <t>Solar Energy Production</t>
  </si>
  <si>
    <t>Solar Panel (1.3208) kW</t>
  </si>
  <si>
    <t>Solar Panel Cost = Daily Energy (kW) * Cost/kW</t>
  </si>
  <si>
    <t>Total Solar System Installed Cost</t>
  </si>
  <si>
    <t>Calculate ROI</t>
  </si>
  <si>
    <t>Payback Period = Total System Installed Cost / Annual Savings</t>
  </si>
  <si>
    <t xml:space="preserve">Annual Savings. = Annual Units Consumed * Tariff </t>
  </si>
  <si>
    <t>Total System Installed Cost</t>
  </si>
  <si>
    <t>Tariff per unit (Pakistan) / kWh</t>
  </si>
  <si>
    <t>Net Metering Cost @ NEPRA / kWh</t>
  </si>
  <si>
    <t>Payback Period (Years)</t>
  </si>
  <si>
    <t>* If Energy Produced by Solar is sufficient</t>
  </si>
  <si>
    <t>* If Energy Produced by Solar is Excess</t>
  </si>
  <si>
    <t xml:space="preserve">Net-Metering = (Annual Unused Units * NEPRA Unit Cost) </t>
  </si>
  <si>
    <t>Annual Units Consumed (kWh) / Year</t>
  </si>
  <si>
    <t>Annual Units Generates by Solar (kWh) / Year</t>
  </si>
  <si>
    <t>Annual Unused Units (kWh) / Year</t>
  </si>
  <si>
    <t>Payback Period = (Total System Installed Cost) / (Annual Savings + Net Metering)</t>
  </si>
  <si>
    <t>Annual Savings.</t>
  </si>
  <si>
    <t>Calculate Payback Period</t>
  </si>
  <si>
    <t>ROI = (1 / Payback Period) * 100%</t>
  </si>
  <si>
    <t>ROI / year</t>
  </si>
  <si>
    <t>ROI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</si>
</sst>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24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B12C-D4B5-4198-9F1C-27A3FFED6E00}">
  <dimension ref="B2:L36"/>
  <sheetViews>
    <sheetView tabSelected="1" topLeftCell="G23" zoomScaleNormal="100" workbookViewId="0">
      <selection activeCell="K33" sqref="K33"/>
    </sheetView>
  </sheetViews>
  <sheetFormatPr defaultRowHeight="17.399999999999999" x14ac:dyDescent="0.3"/>
  <cols>
    <col min="1" max="1" width="8.88671875" style="2"/>
    <col min="2" max="2" width="14.6640625" style="2" customWidth="1"/>
    <col min="3" max="3" width="41.21875" style="5" customWidth="1"/>
    <col min="4" max="4" width="19.33203125" style="2" customWidth="1"/>
    <col min="5" max="5" width="47.21875" style="2" customWidth="1"/>
    <col min="6" max="6" width="51.6640625" style="2" customWidth="1"/>
    <col min="7" max="7" width="28.44140625" style="2" customWidth="1"/>
    <col min="8" max="8" width="8.88671875" style="2"/>
    <col min="9" max="9" width="51" style="2" customWidth="1"/>
    <col min="10" max="10" width="52.88671875" style="2" customWidth="1"/>
    <col min="11" max="11" width="41.21875" style="2" customWidth="1"/>
    <col min="12" max="12" width="27.6640625" style="2" customWidth="1"/>
    <col min="13" max="16384" width="8.88671875" style="2"/>
  </cols>
  <sheetData>
    <row r="2" spans="2:11" s="6" customFormat="1" ht="61.8" customHeight="1" x14ac:dyDescent="0.3">
      <c r="B2" s="6" t="s">
        <v>0</v>
      </c>
      <c r="D2" s="6" t="s">
        <v>1</v>
      </c>
      <c r="E2" s="6" t="s">
        <v>35</v>
      </c>
      <c r="F2" s="6" t="s">
        <v>18</v>
      </c>
      <c r="G2" s="6" t="s">
        <v>19</v>
      </c>
      <c r="I2" s="6" t="s">
        <v>37</v>
      </c>
      <c r="K2" s="6" t="s">
        <v>19</v>
      </c>
    </row>
    <row r="3" spans="2:11" ht="15.6" x14ac:dyDescent="0.3">
      <c r="B3" s="2" t="s">
        <v>2</v>
      </c>
      <c r="C3" s="2"/>
      <c r="D3" s="2">
        <v>57</v>
      </c>
      <c r="E3" s="2" t="s">
        <v>36</v>
      </c>
      <c r="F3" s="2" t="s">
        <v>17</v>
      </c>
      <c r="G3" s="2">
        <v>175000</v>
      </c>
      <c r="I3" s="2" t="s">
        <v>61</v>
      </c>
      <c r="K3" s="2">
        <f>E7</f>
        <v>231142.18750000003</v>
      </c>
    </row>
    <row r="4" spans="2:11" x14ac:dyDescent="0.3">
      <c r="B4" s="2" t="s">
        <v>3</v>
      </c>
      <c r="D4" s="2">
        <v>64</v>
      </c>
      <c r="F4" s="2" t="s">
        <v>20</v>
      </c>
      <c r="G4" s="2">
        <v>140000</v>
      </c>
    </row>
    <row r="5" spans="2:11" ht="15.6" x14ac:dyDescent="0.3">
      <c r="B5" s="2" t="s">
        <v>4</v>
      </c>
      <c r="C5" s="2"/>
      <c r="D5" s="2">
        <v>62</v>
      </c>
      <c r="E5" s="2" t="s">
        <v>62</v>
      </c>
      <c r="F5" s="3" t="s">
        <v>21</v>
      </c>
      <c r="G5" s="7">
        <v>60000</v>
      </c>
      <c r="I5" s="2" t="s">
        <v>38</v>
      </c>
      <c r="K5" s="2">
        <f>G4</f>
        <v>140000</v>
      </c>
    </row>
    <row r="6" spans="2:11" x14ac:dyDescent="0.3">
      <c r="B6" s="2" t="s">
        <v>5</v>
      </c>
      <c r="D6" s="2">
        <v>44</v>
      </c>
      <c r="F6" s="8" t="s">
        <v>22</v>
      </c>
    </row>
    <row r="7" spans="2:11" x14ac:dyDescent="0.3">
      <c r="B7" s="2" t="s">
        <v>6</v>
      </c>
      <c r="D7" s="2">
        <v>43</v>
      </c>
      <c r="E7" s="5">
        <f>(D29 * G3)</f>
        <v>231142.18750000003</v>
      </c>
      <c r="F7" s="8" t="s">
        <v>23</v>
      </c>
      <c r="I7" s="2" t="s">
        <v>39</v>
      </c>
      <c r="K7" s="7">
        <v>60000</v>
      </c>
    </row>
    <row r="8" spans="2:11" x14ac:dyDescent="0.3">
      <c r="B8" s="2" t="s">
        <v>7</v>
      </c>
      <c r="D8" s="2">
        <v>68</v>
      </c>
      <c r="F8" s="8" t="s">
        <v>24</v>
      </c>
    </row>
    <row r="9" spans="2:11" x14ac:dyDescent="0.3">
      <c r="B9" s="2" t="s">
        <v>8</v>
      </c>
      <c r="D9" s="2">
        <v>133</v>
      </c>
      <c r="F9" s="8" t="s">
        <v>25</v>
      </c>
      <c r="I9" s="2" t="s">
        <v>40</v>
      </c>
      <c r="K9" s="7">
        <v>40000</v>
      </c>
    </row>
    <row r="10" spans="2:11" x14ac:dyDescent="0.3">
      <c r="B10" s="2" t="s">
        <v>9</v>
      </c>
      <c r="D10" s="2">
        <v>51</v>
      </c>
      <c r="F10" s="8" t="s">
        <v>26</v>
      </c>
    </row>
    <row r="11" spans="2:11" x14ac:dyDescent="0.3">
      <c r="B11" s="2" t="s">
        <v>10</v>
      </c>
      <c r="D11" s="2">
        <v>89</v>
      </c>
      <c r="E11" s="5"/>
      <c r="F11" s="3" t="s">
        <v>27</v>
      </c>
      <c r="G11" s="7">
        <v>40000</v>
      </c>
      <c r="I11" s="2" t="s">
        <v>41</v>
      </c>
      <c r="K11" s="7">
        <f>G15</f>
        <v>65000</v>
      </c>
    </row>
    <row r="12" spans="2:11" x14ac:dyDescent="0.3">
      <c r="B12" s="2" t="s">
        <v>11</v>
      </c>
      <c r="D12" s="2">
        <v>133</v>
      </c>
      <c r="F12" s="8" t="s">
        <v>28</v>
      </c>
    </row>
    <row r="13" spans="2:11" ht="64.8" customHeight="1" x14ac:dyDescent="0.3">
      <c r="B13" s="2" t="s">
        <v>12</v>
      </c>
      <c r="D13" s="2">
        <v>180</v>
      </c>
      <c r="F13" s="8" t="s">
        <v>29</v>
      </c>
      <c r="I13" s="1" t="s">
        <v>63</v>
      </c>
      <c r="J13" s="1"/>
      <c r="K13" s="1">
        <f>SUM(K3:K11)</f>
        <v>536142.1875</v>
      </c>
    </row>
    <row r="14" spans="2:11" x14ac:dyDescent="0.3">
      <c r="B14" s="2" t="s">
        <v>13</v>
      </c>
      <c r="D14" s="2">
        <v>163</v>
      </c>
      <c r="F14" s="8" t="s">
        <v>30</v>
      </c>
    </row>
    <row r="15" spans="2:11" x14ac:dyDescent="0.3">
      <c r="D15" s="3"/>
      <c r="E15" s="3"/>
      <c r="F15" s="3" t="s">
        <v>31</v>
      </c>
      <c r="G15" s="7">
        <v>65000</v>
      </c>
    </row>
    <row r="16" spans="2:11" x14ac:dyDescent="0.3">
      <c r="D16" s="3"/>
      <c r="E16" s="3"/>
      <c r="F16" s="3"/>
      <c r="G16" s="7"/>
    </row>
    <row r="17" spans="3:12" s="5" customFormat="1" x14ac:dyDescent="0.3">
      <c r="C17" s="5" t="s">
        <v>58</v>
      </c>
      <c r="D17" s="5" t="s">
        <v>59</v>
      </c>
      <c r="G17" s="11"/>
    </row>
    <row r="18" spans="3:12" s="4" customFormat="1" ht="18" x14ac:dyDescent="0.3">
      <c r="C18" s="3" t="s">
        <v>14</v>
      </c>
      <c r="D18" s="2">
        <f>SUM(D3:D14)</f>
        <v>1087</v>
      </c>
      <c r="F18" s="8" t="s">
        <v>32</v>
      </c>
      <c r="G18" s="2"/>
    </row>
    <row r="19" spans="3:12" ht="15.6" x14ac:dyDescent="0.3">
      <c r="C19" s="3" t="s">
        <v>15</v>
      </c>
      <c r="D19" s="2">
        <f>AVERAGE(D3:D14)</f>
        <v>90.583333333333329</v>
      </c>
      <c r="F19" s="8" t="s">
        <v>33</v>
      </c>
    </row>
    <row r="20" spans="3:12" ht="15.6" x14ac:dyDescent="0.3">
      <c r="C20" s="3" t="s">
        <v>16</v>
      </c>
      <c r="D20" s="2">
        <f>(D19/30)</f>
        <v>3.0194444444444444</v>
      </c>
      <c r="F20" s="8" t="s">
        <v>34</v>
      </c>
    </row>
    <row r="21" spans="3:12" ht="56.4" customHeight="1" x14ac:dyDescent="0.3">
      <c r="F21" s="8"/>
      <c r="I21" s="12"/>
    </row>
    <row r="22" spans="3:12" ht="56.4" customHeight="1" x14ac:dyDescent="0.3">
      <c r="F22" s="8"/>
      <c r="I22" s="12"/>
    </row>
    <row r="23" spans="3:12" s="6" customFormat="1" ht="56.4" customHeight="1" x14ac:dyDescent="0.3">
      <c r="C23" s="6" t="s">
        <v>60</v>
      </c>
      <c r="D23" s="6" t="s">
        <v>50</v>
      </c>
      <c r="F23" s="6" t="s">
        <v>51</v>
      </c>
      <c r="G23" s="6" t="s">
        <v>50</v>
      </c>
      <c r="I23" s="12" t="s">
        <v>79</v>
      </c>
      <c r="J23" s="12"/>
      <c r="K23" s="12" t="s">
        <v>64</v>
      </c>
    </row>
    <row r="24" spans="3:12" ht="42" customHeight="1" x14ac:dyDescent="0.3">
      <c r="F24" s="6"/>
      <c r="G24" s="6"/>
      <c r="I24" s="13" t="s">
        <v>71</v>
      </c>
      <c r="J24" s="6" t="s">
        <v>50</v>
      </c>
      <c r="K24" s="3" t="s">
        <v>80</v>
      </c>
      <c r="L24" s="1" t="s">
        <v>50</v>
      </c>
    </row>
    <row r="25" spans="3:12" s="10" customFormat="1" ht="61.8" customHeight="1" x14ac:dyDescent="0.3">
      <c r="C25" s="9" t="s">
        <v>42</v>
      </c>
      <c r="D25" s="10" t="s">
        <v>43</v>
      </c>
      <c r="F25" s="10" t="s">
        <v>47</v>
      </c>
      <c r="G25" s="10" t="s">
        <v>52</v>
      </c>
      <c r="I25" s="10" t="s">
        <v>65</v>
      </c>
    </row>
    <row r="26" spans="3:12" x14ac:dyDescent="0.3">
      <c r="F26" s="2" t="s">
        <v>48</v>
      </c>
      <c r="G26" s="2" t="s">
        <v>53</v>
      </c>
      <c r="I26" s="2" t="s">
        <v>66</v>
      </c>
      <c r="J26" s="2">
        <f>(D18 * G30)</f>
        <v>43480</v>
      </c>
    </row>
    <row r="27" spans="3:12" x14ac:dyDescent="0.3">
      <c r="C27" s="5" t="s">
        <v>44</v>
      </c>
      <c r="D27" s="2">
        <f>3.019 / (5 * 0.8)</f>
        <v>0.75475000000000003</v>
      </c>
      <c r="F27" s="2" t="s">
        <v>46</v>
      </c>
      <c r="G27" s="2">
        <v>5</v>
      </c>
      <c r="I27" s="2" t="s">
        <v>67</v>
      </c>
      <c r="J27" s="2">
        <f>K13</f>
        <v>536142.1875</v>
      </c>
    </row>
    <row r="28" spans="3:12" x14ac:dyDescent="0.3">
      <c r="F28" s="2" t="s">
        <v>49</v>
      </c>
      <c r="G28" s="2">
        <v>1.75</v>
      </c>
    </row>
    <row r="29" spans="3:12" ht="34.799999999999997" x14ac:dyDescent="0.3">
      <c r="C29" s="9" t="s">
        <v>45</v>
      </c>
      <c r="D29" s="10">
        <f>(0.75475 * 1.75)</f>
        <v>1.3208125000000002</v>
      </c>
      <c r="F29" s="2" t="s">
        <v>54</v>
      </c>
      <c r="G29" s="2">
        <v>5</v>
      </c>
      <c r="I29" s="5" t="s">
        <v>70</v>
      </c>
      <c r="J29" s="5">
        <f>(J27 / J26)</f>
        <v>12.330777081416743</v>
      </c>
      <c r="K29" s="5" t="s">
        <v>81</v>
      </c>
      <c r="L29" s="5">
        <f>(1 / J29) * 100</f>
        <v>8.1097889727247026</v>
      </c>
    </row>
    <row r="30" spans="3:12" x14ac:dyDescent="0.3">
      <c r="F30" s="2" t="s">
        <v>68</v>
      </c>
      <c r="G30" s="2">
        <v>40</v>
      </c>
    </row>
    <row r="31" spans="3:12" s="10" customFormat="1" ht="34.799999999999997" x14ac:dyDescent="0.3">
      <c r="C31" s="9" t="s">
        <v>55</v>
      </c>
      <c r="D31" s="10">
        <f>(D29 * G29)</f>
        <v>6.6040625000000013</v>
      </c>
      <c r="F31" s="10" t="s">
        <v>69</v>
      </c>
      <c r="G31" s="10">
        <v>20</v>
      </c>
      <c r="I31" s="13" t="s">
        <v>72</v>
      </c>
    </row>
    <row r="32" spans="3:12" ht="31.2" x14ac:dyDescent="0.3">
      <c r="F32" s="2" t="s">
        <v>74</v>
      </c>
      <c r="G32" s="2">
        <f>D18</f>
        <v>1087</v>
      </c>
      <c r="I32" s="10" t="s">
        <v>77</v>
      </c>
    </row>
    <row r="33" spans="3:12" ht="31.2" x14ac:dyDescent="0.3">
      <c r="C33" s="5" t="s">
        <v>57</v>
      </c>
      <c r="D33" s="2">
        <f>(D31 * 30)</f>
        <v>198.12187500000005</v>
      </c>
      <c r="F33" s="2" t="s">
        <v>75</v>
      </c>
      <c r="G33" s="2">
        <f>D35</f>
        <v>2377.4625000000005</v>
      </c>
      <c r="I33" s="10" t="s">
        <v>73</v>
      </c>
      <c r="J33" s="2">
        <f>G35 * G31</f>
        <v>25809.250000000011</v>
      </c>
    </row>
    <row r="34" spans="3:12" x14ac:dyDescent="0.3">
      <c r="I34" s="10" t="s">
        <v>78</v>
      </c>
      <c r="J34" s="2">
        <f>J26</f>
        <v>43480</v>
      </c>
    </row>
    <row r="35" spans="3:12" x14ac:dyDescent="0.3">
      <c r="C35" s="5" t="s">
        <v>56</v>
      </c>
      <c r="D35" s="2">
        <f>(D33 * 12)</f>
        <v>2377.4625000000005</v>
      </c>
      <c r="F35" s="2" t="s">
        <v>76</v>
      </c>
      <c r="G35" s="2">
        <f>(G33 - G32)</f>
        <v>1290.4625000000005</v>
      </c>
      <c r="I35" s="9"/>
      <c r="J35" s="5"/>
    </row>
    <row r="36" spans="3:12" ht="58.2" customHeight="1" x14ac:dyDescent="0.3">
      <c r="I36" s="9" t="s">
        <v>70</v>
      </c>
      <c r="J36" s="5">
        <f>J27 / (J34 + J33)</f>
        <v>7.7377398009070655</v>
      </c>
      <c r="K36" s="5" t="s">
        <v>82</v>
      </c>
      <c r="L36" s="5">
        <f>(1 / J36) * 100</f>
        <v>12.92367055148034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IBTISAAM HAIDER</dc:creator>
  <cp:lastModifiedBy>IBTISAAM HAIDER</cp:lastModifiedBy>
  <cp:lastPrinted>2026-02-07T17:48:31Z</cp:lastPrinted>
  <dcterms:created xsi:type="dcterms:W3CDTF">2026-02-07T11:23:11Z</dcterms:created>
  <dcterms:modified xsi:type="dcterms:W3CDTF">2026-02-07T19:05:04Z</dcterms:modified>
</cp:coreProperties>
</file>