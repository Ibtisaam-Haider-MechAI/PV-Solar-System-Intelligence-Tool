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il Laptop\Desktop\PV Installation Estimate\"/>
    </mc:Choice>
  </mc:AlternateContent>
  <xr:revisionPtr revIDLastSave="0" documentId="13_ncr:1_{B0490120-D6E3-4E68-B1F5-833E2A3D1DFE}" xr6:coauthVersionLast="47" xr6:coauthVersionMax="47" xr10:uidLastSave="{00000000-0000-0000-0000-000000000000}"/>
  <bookViews>
    <workbookView xWindow="-108" yWindow="-108" windowWidth="23256" windowHeight="12576" activeTab="7" xr2:uid="{3C16C549-0F3B-414A-AECA-8F6D3FA1A82B}"/>
  </bookViews>
  <sheets>
    <sheet name="Inputs" sheetId="1" r:id="rId1"/>
    <sheet name="Technical" sheetId="2" r:id="rId2"/>
    <sheet name="Financial" sheetId="3" r:id="rId3"/>
    <sheet name="Environmental" sheetId="5" r:id="rId4"/>
    <sheet name="Visual Dashboard" sheetId="4" r:id="rId5"/>
    <sheet name="Feasible" sheetId="6" r:id="rId6"/>
    <sheet name="Scoring" sheetId="7" r:id="rId7"/>
    <sheet name="Testing" sheetId="8" r:id="rId8"/>
  </sheets>
  <definedNames>
    <definedName name="_xlnm.Print_Area" localSheetId="4">'Visual Dashboard'!$A$1:$V$109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8" l="1"/>
  <c r="F16" i="8"/>
  <c r="F13" i="8"/>
  <c r="F12" i="8"/>
  <c r="F14" i="8" s="1"/>
  <c r="F11" i="8"/>
  <c r="F10" i="8"/>
  <c r="F9" i="8"/>
  <c r="B14" i="8"/>
  <c r="B12" i="8"/>
  <c r="B11" i="8"/>
  <c r="B13" i="8" s="1"/>
  <c r="B10" i="8"/>
  <c r="B9" i="8"/>
  <c r="B8" i="8"/>
  <c r="D11" i="7"/>
  <c r="D9" i="7"/>
  <c r="D8" i="7"/>
  <c r="D7" i="7"/>
  <c r="D6" i="7"/>
  <c r="C11" i="7"/>
  <c r="B9" i="7"/>
  <c r="B8" i="7"/>
  <c r="B7" i="7"/>
  <c r="B6" i="7"/>
  <c r="B48" i="6"/>
  <c r="B49" i="6" s="1"/>
  <c r="B41" i="6"/>
  <c r="B42" i="6" s="1"/>
  <c r="B28" i="6"/>
  <c r="B27" i="6"/>
  <c r="B10" i="6"/>
  <c r="B20" i="6" s="1"/>
  <c r="B8" i="6"/>
  <c r="B9" i="5"/>
  <c r="B8" i="5"/>
  <c r="B6" i="5"/>
  <c r="B5" i="5"/>
  <c r="B30" i="4"/>
  <c r="F10" i="3"/>
  <c r="B31" i="4"/>
  <c r="E15" i="2"/>
  <c r="E14" i="2"/>
  <c r="B26" i="4"/>
  <c r="B24" i="4"/>
  <c r="B23" i="4"/>
  <c r="B21" i="4"/>
  <c r="B20" i="4"/>
  <c r="B18" i="4"/>
  <c r="B19" i="4"/>
  <c r="B17" i="4"/>
  <c r="J10" i="4"/>
  <c r="B16" i="4"/>
  <c r="E1" i="4"/>
  <c r="J8" i="4"/>
  <c r="J7" i="4"/>
  <c r="J6" i="4"/>
  <c r="B11" i="4"/>
  <c r="F11" i="4"/>
  <c r="F10" i="4"/>
  <c r="F9" i="4"/>
  <c r="F8" i="4"/>
  <c r="F7" i="4"/>
  <c r="F6" i="4"/>
  <c r="B10" i="4"/>
  <c r="B8" i="4"/>
  <c r="B7" i="4"/>
  <c r="B6" i="4"/>
  <c r="B3" i="4"/>
  <c r="D5" i="3"/>
  <c r="G5" i="3"/>
  <c r="D6" i="1"/>
  <c r="D7" i="1" s="1"/>
  <c r="D11" i="1" s="1"/>
  <c r="D10" i="3" s="1"/>
  <c r="B16" i="8" l="1"/>
  <c r="B15" i="8"/>
  <c r="F15" i="8"/>
  <c r="B9" i="6"/>
  <c r="B11" i="6" s="1"/>
  <c r="B29" i="6"/>
  <c r="B31" i="6" s="1"/>
  <c r="B36" i="6" s="1"/>
  <c r="B45" i="6"/>
  <c r="B46" i="6" s="1"/>
  <c r="E7" i="2"/>
  <c r="E6" i="2" s="1"/>
  <c r="E5" i="2" s="1"/>
  <c r="E11" i="2" s="1"/>
  <c r="G6" i="3" s="1"/>
  <c r="E9" i="2"/>
  <c r="G7" i="3"/>
  <c r="E8" i="2"/>
  <c r="G8" i="3"/>
  <c r="B12" i="6" l="1"/>
  <c r="B14" i="6" s="1"/>
  <c r="B19" i="6"/>
  <c r="B21" i="6" s="1"/>
  <c r="B23" i="6" s="1"/>
  <c r="G9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<sst xmlns="http://schemas.openxmlformats.org/spreadsheetml/2006/main" count="296" uniqueCount="165">
  <si>
    <t>SunEnergy Value</t>
  </si>
  <si>
    <t>Parameters</t>
  </si>
  <si>
    <t>Value</t>
  </si>
  <si>
    <t>Units</t>
  </si>
  <si>
    <t>Location</t>
  </si>
  <si>
    <t>Peak Sun Hours</t>
  </si>
  <si>
    <t>System Size</t>
  </si>
  <si>
    <t>Islamabad</t>
  </si>
  <si>
    <t>kWh/day</t>
  </si>
  <si>
    <t>hrs.</t>
  </si>
  <si>
    <t>kW</t>
  </si>
  <si>
    <t>Input Information</t>
  </si>
  <si>
    <t>Technical Results</t>
  </si>
  <si>
    <t>Results</t>
  </si>
  <si>
    <t>Panels Required</t>
  </si>
  <si>
    <t>Inverter Size</t>
  </si>
  <si>
    <t>Financial Analysis</t>
  </si>
  <si>
    <t>Annual Savings</t>
  </si>
  <si>
    <t>Payback Period</t>
  </si>
  <si>
    <t>ROI</t>
  </si>
  <si>
    <t>Panel Cost</t>
  </si>
  <si>
    <t>Inverter Cost</t>
  </si>
  <si>
    <t>Structure &amp; Frame Cost</t>
  </si>
  <si>
    <t>On-Grid (Net Metering)</t>
  </si>
  <si>
    <t>Total Labor Cost</t>
  </si>
  <si>
    <t>Total System Cost</t>
  </si>
  <si>
    <t>kWh/Year</t>
  </si>
  <si>
    <t>Save Bill Money</t>
  </si>
  <si>
    <t>Earn Money by sell units</t>
  </si>
  <si>
    <t>Items</t>
  </si>
  <si>
    <t>Rs./Year</t>
  </si>
  <si>
    <t>Years</t>
  </si>
  <si>
    <t>%/Year</t>
  </si>
  <si>
    <t>Annual Units Consumed</t>
  </si>
  <si>
    <t>Monthly Units Consumed</t>
  </si>
  <si>
    <t>Daily Units / Daily Load</t>
  </si>
  <si>
    <t>System Efficiency</t>
  </si>
  <si>
    <t>kWh/year</t>
  </si>
  <si>
    <t>kWh/month</t>
  </si>
  <si>
    <t>Annual Energy Production</t>
  </si>
  <si>
    <t>Monthly Energy Production</t>
  </si>
  <si>
    <t>Daily Energy Production</t>
  </si>
  <si>
    <t>Solar Size</t>
  </si>
  <si>
    <t>W</t>
  </si>
  <si>
    <t>Data</t>
  </si>
  <si>
    <t>Values</t>
  </si>
  <si>
    <t>Tarrif Rate. (Rs) / Unit</t>
  </si>
  <si>
    <t>Export Rate (Rs) / Unit</t>
  </si>
  <si>
    <t>Excess Units (Export to Grid)</t>
  </si>
  <si>
    <t>Cost per kW</t>
  </si>
  <si>
    <t>Graphical Results</t>
  </si>
  <si>
    <t>System Status:</t>
  </si>
  <si>
    <t>Solar PV System &amp; Financial Report Analysis</t>
  </si>
  <si>
    <t>DATE:</t>
  </si>
  <si>
    <t>Given Details</t>
  </si>
  <si>
    <t xml:space="preserve">Yearly units Consumed </t>
  </si>
  <si>
    <t>Daily Units Consumed</t>
  </si>
  <si>
    <t>PAKISTAN</t>
  </si>
  <si>
    <t>System Output Idea</t>
  </si>
  <si>
    <t>Solar System Size</t>
  </si>
  <si>
    <t>No. Of Panels Required</t>
  </si>
  <si>
    <t>CostperkW</t>
  </si>
  <si>
    <t>Total Panels Cost</t>
  </si>
  <si>
    <t>For Solar Watts (W)</t>
  </si>
  <si>
    <t>Paramters</t>
  </si>
  <si>
    <t>Rs.</t>
  </si>
  <si>
    <t>Energy Production</t>
  </si>
  <si>
    <t>Annual Energy Generation</t>
  </si>
  <si>
    <t>Monthly Energy Generation</t>
  </si>
  <si>
    <t>Daily Energy Generation</t>
  </si>
  <si>
    <t>Investment &amp; Coverage</t>
  </si>
  <si>
    <t>Total System Cost Required</t>
  </si>
  <si>
    <t>Tarriff Rate</t>
  </si>
  <si>
    <t>Excess Energy/Units Generate</t>
  </si>
  <si>
    <t>Export Unit Rate</t>
  </si>
  <si>
    <t>WAPDA Bill Cut-off Price</t>
  </si>
  <si>
    <t xml:space="preserve">Earn Money from Export Units </t>
  </si>
  <si>
    <t>Rs./Unit</t>
  </si>
  <si>
    <t>Total Save Money</t>
  </si>
  <si>
    <t>Daily Coverage</t>
  </si>
  <si>
    <t>%/day</t>
  </si>
  <si>
    <t>Carbon Dioxide Emitted</t>
  </si>
  <si>
    <t>kg/kWh</t>
  </si>
  <si>
    <t>Reduced Carbon Dioxide Emission</t>
  </si>
  <si>
    <t>kg</t>
  </si>
  <si>
    <t>25-Year Carbon Dioxide Emission</t>
  </si>
  <si>
    <t>Sustainable Environment</t>
  </si>
  <si>
    <t>Reduce Carbon Dioxide Emission</t>
  </si>
  <si>
    <t>25-Year Carbon Dioxide Emission Reduce</t>
  </si>
  <si>
    <t>Total System Life Span</t>
  </si>
  <si>
    <t>1 Tree Absorbs Carbon dioxide</t>
  </si>
  <si>
    <t>kg/year</t>
  </si>
  <si>
    <t>Result:</t>
  </si>
  <si>
    <t>Sustainable Impact</t>
  </si>
  <si>
    <t>(Total Save Trees)</t>
  </si>
  <si>
    <t>Final Verdict</t>
  </si>
  <si>
    <r>
      <t>This PV System calculations and analysis is estimated based on "</t>
    </r>
    <r>
      <rPr>
        <b/>
        <sz val="14"/>
        <color theme="1"/>
        <rFont val="Times New Roman"/>
        <family val="1"/>
      </rPr>
      <t xml:space="preserve">Pakistan" </t>
    </r>
    <r>
      <rPr>
        <sz val="14"/>
        <color theme="1"/>
        <rFont val="Times New Roman"/>
        <family val="1"/>
      </rPr>
      <t>assumptions.  It may varies and get real-time idea by visit the site with all scenarios will be considered.</t>
    </r>
  </si>
  <si>
    <t>In this sheet, we check the feasibility behaviour of our system. That, tells our investment in safe hand or not?</t>
  </si>
  <si>
    <t>Annual Savings (Includes bill saving + Export Units Revenue) Money</t>
  </si>
  <si>
    <t>Operating &amp; Maintenace Cost (For System)</t>
  </si>
  <si>
    <t>Initial Investment (Total System Cost)</t>
  </si>
  <si>
    <t>Discount Rate (r)</t>
  </si>
  <si>
    <t>NPV (Net Present Value)</t>
  </si>
  <si>
    <t xml:space="preserve">Total Cash Flow </t>
  </si>
  <si>
    <t>Description</t>
  </si>
  <si>
    <t>If I put my investment in bank, then per year it gives me 10% profit which is known as "Bench mark". We compare both senarios, to deposit money in bank vs investment in installed solar system.</t>
  </si>
  <si>
    <t>Final Remarks</t>
  </si>
  <si>
    <t>Check (NPV) Feasiblity</t>
  </si>
  <si>
    <t>Check IRR</t>
  </si>
  <si>
    <t>Actual rate of return, in which net present value equals to zero. The system is feasible only, if IRR greater than discount rate.</t>
  </si>
  <si>
    <t xml:space="preserve">NPV </t>
  </si>
  <si>
    <t>IRR</t>
  </si>
  <si>
    <t>Total Cash Flow</t>
  </si>
  <si>
    <t>Check LCOE</t>
  </si>
  <si>
    <t>Check the levelized Cost of Energy, gives an idea how much charge our system gives 1 Unit(kWh) cost and compare with grid tarriff rate.</t>
  </si>
  <si>
    <t>Annually Units/Energy Generation</t>
  </si>
  <si>
    <t>Total Life-Time Units/Energy Generation</t>
  </si>
  <si>
    <t>Total Life Cycle of solar system</t>
  </si>
  <si>
    <t>kWh/Life-Time</t>
  </si>
  <si>
    <t>LCOE</t>
  </si>
  <si>
    <t>Check Tarriff Rate</t>
  </si>
  <si>
    <t xml:space="preserve">Tarriff Rate In Pakistan </t>
  </si>
  <si>
    <t>Environmental Monetization</t>
  </si>
  <si>
    <t>1 Ton</t>
  </si>
  <si>
    <t>Reduced Carbon Dioxide Emission Annually</t>
  </si>
  <si>
    <t xml:space="preserve">25 -Year Reduced Carbon Dioxide Emission </t>
  </si>
  <si>
    <t>kg/kWh/Year</t>
  </si>
  <si>
    <t>kg/kWh/25Years</t>
  </si>
  <si>
    <t>1 Ton Carbon Dioxide Reduced Price</t>
  </si>
  <si>
    <t>How much ton your system reduced carbon dioxide emission annually</t>
  </si>
  <si>
    <t>Ton</t>
  </si>
  <si>
    <t>Carbon Credit Price for your system</t>
  </si>
  <si>
    <t>Annually Carbon Credit</t>
  </si>
  <si>
    <t>Over 25 Years</t>
  </si>
  <si>
    <t>How much ton your system reduced carbon dioxide emission over 25Years</t>
  </si>
  <si>
    <t>Rs. / Year</t>
  </si>
  <si>
    <t>Sustainability Factors</t>
  </si>
  <si>
    <t>Factors</t>
  </si>
  <si>
    <t>Score</t>
  </si>
  <si>
    <t>Carbon Dioxide Emission Annually</t>
  </si>
  <si>
    <t>For 25 Years Carbon Dioxide Emission</t>
  </si>
  <si>
    <t>Renewable Solar Load Coverage</t>
  </si>
  <si>
    <t>kg/Year</t>
  </si>
  <si>
    <t>kg/25Year</t>
  </si>
  <si>
    <t>LCOE vs Grid Tarriff Rate</t>
  </si>
  <si>
    <t>Difference (Solar unit cost / Grid Tarriff unit cost)</t>
  </si>
  <si>
    <t>Sustainability Index</t>
  </si>
  <si>
    <t>Testing &amp; Validation</t>
  </si>
  <si>
    <t>Check Case</t>
  </si>
  <si>
    <t>Annually Units Consumed</t>
  </si>
  <si>
    <t>Peak Sun Hours (PSH)</t>
  </si>
  <si>
    <t>Solar System Efficiency</t>
  </si>
  <si>
    <t>Expanded PV Size</t>
  </si>
  <si>
    <t>Solar Size (Watts)</t>
  </si>
  <si>
    <t>No. of Panels Required</t>
  </si>
  <si>
    <t xml:space="preserve">Discount rate </t>
  </si>
  <si>
    <t>Initial Investment</t>
  </si>
  <si>
    <t>Annual Cash Flow</t>
  </si>
  <si>
    <t>Net Present Value (NPV)</t>
  </si>
  <si>
    <t>Yearly Units Generation</t>
  </si>
  <si>
    <t>Total Solar Life-Cycle</t>
  </si>
  <si>
    <t>Total Life Cycle Units Generate</t>
  </si>
  <si>
    <t>Physical Module</t>
  </si>
  <si>
    <t>Economic Module</t>
  </si>
  <si>
    <t>kWh/total life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</si>
</sst>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i/>
      <sz val="28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rgb="FF00B05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Times New Roman"/>
      <family val="1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0"/>
      <name val="Times New Roman"/>
      <family val="1"/>
    </font>
    <font>
      <sz val="16"/>
      <color theme="0"/>
      <name val="Times New Roman"/>
      <family val="1"/>
    </font>
    <font>
      <b/>
      <sz val="28"/>
      <color theme="0"/>
      <name val="Times New Roman"/>
      <family val="1"/>
    </font>
    <font>
      <b/>
      <sz val="24"/>
      <color theme="6"/>
      <name val="Times New Roman"/>
      <family val="1"/>
    </font>
    <font>
      <b/>
      <sz val="18"/>
      <color theme="1"/>
      <name val="Times New Roman"/>
      <family val="1"/>
    </font>
    <font>
      <sz val="18"/>
      <color theme="0"/>
      <name val="Times New Roman"/>
      <family val="1"/>
    </font>
    <font>
      <b/>
      <sz val="12"/>
      <color theme="0"/>
      <name val="Times New Roman"/>
      <family val="1"/>
    </font>
    <font>
      <b/>
      <sz val="14"/>
      <color theme="0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4" fontId="13" fillId="5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7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9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8" fillId="0" borderId="0" xfId="0" applyFont="1"/>
    <xf numFmtId="0" fontId="19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9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/>
              <a:t>Load Consumed vs Energy Generation</a:t>
            </a:r>
          </a:p>
        </c:rich>
      </c:tx>
      <c:layout>
        <c:manualLayout>
          <c:xMode val="edge"/>
          <c:yMode val="edge"/>
          <c:x val="0.19897598870056496"/>
          <c:y val="2.3540463692038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Annual Consumption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Comparison Results</c:v>
              </c:pt>
            </c:strLit>
          </c:cat>
          <c:val>
            <c:numRef>
              <c:f>Inputs!$D$5</c:f>
              <c:numCache>
                <c:formatCode>General</c:formatCode>
                <c:ptCount val="1"/>
                <c:pt idx="0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C-4761-8FAC-2CF8FE221D8D}"/>
            </c:ext>
          </c:extLst>
        </c:ser>
        <c:ser>
          <c:idx val="1"/>
          <c:order val="1"/>
          <c:tx>
            <c:v>Annual Energy Production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Comparison Results</c:v>
              </c:pt>
            </c:strLit>
          </c:cat>
          <c:val>
            <c:numRef>
              <c:f>Technical!$E$5</c:f>
              <c:numCache>
                <c:formatCode>General</c:formatCode>
                <c:ptCount val="1"/>
                <c:pt idx="0">
                  <c:v>798.4375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EC-4761-8FAC-2CF8FE221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986015"/>
        <c:axId val="845984095"/>
      </c:barChart>
      <c:catAx>
        <c:axId val="84598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5984095"/>
        <c:crosses val="autoZero"/>
        <c:auto val="1"/>
        <c:lblAlgn val="ctr"/>
        <c:lblOffset val="100"/>
        <c:noMultiLvlLbl val="0"/>
      </c:catAx>
      <c:valAx>
        <c:axId val="84598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kwh/year</a:t>
                </a:r>
              </a:p>
            </c:rich>
          </c:tx>
          <c:layout>
            <c:manualLayout>
              <c:xMode val="edge"/>
              <c:yMode val="edge"/>
              <c:x val="0.11289058727745178"/>
              <c:y val="0.342632935023336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5986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alpha val="80000"/>
      </a:schemeClr>
    </a:solidFill>
    <a:ln w="0" cmpd="sng">
      <a:solidFill>
        <a:schemeClr val="tx1"/>
      </a:solidFill>
    </a:ln>
    <a:effectLst/>
  </c:spPr>
  <c:txPr>
    <a:bodyPr rot="0" vert="horz"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/>
              <a:t>Total Cost Required For System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844936734408748"/>
          <c:y val="0.16640594925634294"/>
          <c:w val="0.32359902814295655"/>
          <c:h val="0.7452055993000874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3E-4B6C-865C-0166DBF578B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3E-4B6C-865C-0166DBF578B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3E-4B6C-865C-0166DBF578B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13E-4B6C-865C-0166DBF578B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13E-4B6C-865C-0166DBF578B5}"/>
              </c:ext>
            </c:extLst>
          </c:dPt>
          <c:dLbls>
            <c:dLbl>
              <c:idx val="0"/>
              <c:layout>
                <c:manualLayout>
                  <c:x val="2.1170153861455512E-2"/>
                  <c:y val="-1.988836564167383E-2"/>
                </c:manualLayout>
              </c:layout>
              <c:tx>
                <c:rich>
                  <a:bodyPr/>
                  <a:lstStyle/>
                  <a:p>
                    <a:fld id="{7E6709F6-3082-4164-A18E-60EBB673726C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1597FC33-80F4-439F-99F2-2B011F39CFD5}" type="VALUE">
                      <a:rPr lang="en-US" b="1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13E-4B6C-865C-0166DBF578B5}"/>
                </c:ext>
              </c:extLst>
            </c:dLbl>
            <c:dLbl>
              <c:idx val="1"/>
              <c:layout>
                <c:manualLayout>
                  <c:x val="-3.5283589769093812E-3"/>
                  <c:y val="5.9665096925021428E-2"/>
                </c:manualLayout>
              </c:layout>
              <c:tx>
                <c:rich>
                  <a:bodyPr/>
                  <a:lstStyle/>
                  <a:p>
                    <a:fld id="{F7940183-CFD6-449B-BA95-71ECB78D4663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EFE5589B-B7C4-48F6-BE49-600BB1055CBF}" type="VALUE">
                      <a:rPr lang="en-US" b="1" i="0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13E-4B6C-865C-0166DBF578B5}"/>
                </c:ext>
              </c:extLst>
            </c:dLbl>
            <c:dLbl>
              <c:idx val="2"/>
              <c:layout>
                <c:manualLayout>
                  <c:x val="1.2349256419182383E-2"/>
                  <c:y val="0.10228302330003691"/>
                </c:manualLayout>
              </c:layout>
              <c:tx>
                <c:rich>
                  <a:bodyPr/>
                  <a:lstStyle/>
                  <a:p>
                    <a:fld id="{32F4FA04-4115-4FBD-9416-4407123714E2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499362B8-A6E6-4E27-A30E-FB3E9FA6A469}" type="VALUE">
                      <a:rPr lang="en-US" b="1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13E-4B6C-865C-0166DBF578B5}"/>
                </c:ext>
              </c:extLst>
            </c:dLbl>
            <c:dLbl>
              <c:idx val="3"/>
              <c:layout>
                <c:manualLayout>
                  <c:x val="-1.9447778450330481E-3"/>
                  <c:y val="-3.834864391951006E-2"/>
                </c:manualLayout>
              </c:layout>
              <c:tx>
                <c:rich>
                  <a:bodyPr/>
                  <a:lstStyle/>
                  <a:p>
                    <a:fld id="{A46E38B6-8F5C-4464-9264-6106DCF9848A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25BF6449-1A34-4ED8-A654-80E4E1EF3EF8}" type="VALUE">
                      <a:rPr lang="en-US" b="1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13E-4B6C-865C-0166DBF578B5}"/>
                </c:ext>
              </c:extLst>
            </c:dLbl>
            <c:dLbl>
              <c:idx val="4"/>
              <c:layout>
                <c:manualLayout>
                  <c:x val="-7.5843676560915521E-2"/>
                  <c:y val="3.3917541557305336E-2"/>
                </c:manualLayout>
              </c:layout>
              <c:tx>
                <c:rich>
                  <a:bodyPr/>
                  <a:lstStyle/>
                  <a:p>
                    <a:fld id="{586FDCF9-1EDE-4786-BF1E-214EA7AF4C15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E617686A-1A5C-45B4-BC91-60CAA8DB8E36}" type="VALUE">
                      <a:rPr lang="en-US" b="1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13E-4B6C-865C-0166DBF578B5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Financial!$C$5:$C$9</c:f>
              <c:strCache>
                <c:ptCount val="5"/>
                <c:pt idx="0">
                  <c:v>Panel Cost</c:v>
                </c:pt>
                <c:pt idx="1">
                  <c:v>Inverter Cost</c:v>
                </c:pt>
                <c:pt idx="2">
                  <c:v>Structure &amp; Frame Cost</c:v>
                </c:pt>
                <c:pt idx="3">
                  <c:v>On-Grid (Net Metering)</c:v>
                </c:pt>
                <c:pt idx="4">
                  <c:v>Total Labor Cost</c:v>
                </c:pt>
              </c:strCache>
            </c:strRef>
          </c:cat>
          <c:val>
            <c:numRef>
              <c:f>Financial!$D$5:$D$9</c:f>
              <c:numCache>
                <c:formatCode>General</c:formatCode>
                <c:ptCount val="5"/>
                <c:pt idx="0">
                  <c:v>77625.868055555547</c:v>
                </c:pt>
                <c:pt idx="1">
                  <c:v>140000</c:v>
                </c:pt>
                <c:pt idx="2">
                  <c:v>60000</c:v>
                </c:pt>
                <c:pt idx="3">
                  <c:v>65000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3E-4B6C-865C-0166DBF578B5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313E-4B6C-865C-0166DBF578B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313E-4B6C-865C-0166DBF578B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313E-4B6C-865C-0166DBF578B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313E-4B6C-865C-0166DBF578B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313E-4B6C-865C-0166DBF578B5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Financial!$C$5:$C$9</c:f>
              <c:strCache>
                <c:ptCount val="5"/>
                <c:pt idx="0">
                  <c:v>Panel Cost</c:v>
                </c:pt>
                <c:pt idx="1">
                  <c:v>Inverter Cost</c:v>
                </c:pt>
                <c:pt idx="2">
                  <c:v>Structure &amp; Frame Cost</c:v>
                </c:pt>
                <c:pt idx="3">
                  <c:v>On-Grid (Net Metering)</c:v>
                </c:pt>
                <c:pt idx="4">
                  <c:v>Total Labor Cost</c:v>
                </c:pt>
              </c:strCache>
            </c:strRef>
          </c:cat>
          <c:val>
            <c:numRef>
              <c:f>Financial!$E$5:$E$9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13E-4B6C-865C-0166DBF578B5}"/>
            </c:ext>
          </c:extLst>
        </c:ser>
        <c:dLbls>
          <c:dLblPos val="outEnd"/>
          <c:showLegendKey val="0"/>
          <c:showVal val="1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/>
              <a:t>Annual Save Money</a:t>
            </a:r>
            <a:br>
              <a:rPr lang="en-US" sz="2400"/>
            </a:br>
            <a:r>
              <a:rPr lang="en-US" sz="2400"/>
              <a:t>(After System Installed)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38266842519418"/>
          <c:y val="0.21260295345287269"/>
          <c:w val="0.45208152859306061"/>
          <c:h val="0.7124441163630694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39-4452-812D-228BA4240DE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39-4452-812D-228BA4240DE7}"/>
              </c:ext>
            </c:extLst>
          </c:dPt>
          <c:dLbls>
            <c:dLbl>
              <c:idx val="0"/>
              <c:layout>
                <c:manualLayout>
                  <c:x val="9.8971722765709466E-2"/>
                  <c:y val="0.14557337405676135"/>
                </c:manualLayout>
              </c:layout>
              <c:tx>
                <c:rich>
                  <a:bodyPr/>
                  <a:lstStyle/>
                  <a:p>
                    <a:fld id="{E06AF0E5-F76A-4CC1-97CD-69A423E4890C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6AEC4995-3E76-4930-A2CA-B6394F90C8E8}" type="VALUE">
                      <a:rPr lang="en-US" b="1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439-4452-812D-228BA4240DE7}"/>
                </c:ext>
              </c:extLst>
            </c:dLbl>
            <c:dLbl>
              <c:idx val="1"/>
              <c:layout>
                <c:manualLayout>
                  <c:x val="-9.1053984944452701E-2"/>
                  <c:y val="-0.19548424516193688"/>
                </c:manualLayout>
              </c:layout>
              <c:tx>
                <c:rich>
                  <a:bodyPr/>
                  <a:lstStyle/>
                  <a:p>
                    <a:fld id="{6467533E-8B83-4009-954A-E29454E2E68F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683361B6-9459-4386-BA23-D33C3FA1E9C3}" type="VALUE">
                      <a:rPr lang="en-US" b="1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439-4452-812D-228BA4240DE7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Financial!$F$5:$F$6</c:f>
              <c:strCache>
                <c:ptCount val="2"/>
                <c:pt idx="0">
                  <c:v>Save Bill Money</c:v>
                </c:pt>
                <c:pt idx="1">
                  <c:v>Earn Money by sell units</c:v>
                </c:pt>
              </c:strCache>
            </c:strRef>
          </c:cat>
          <c:val>
            <c:numRef>
              <c:f>Financial!$G$5:$G$6</c:f>
              <c:numCache>
                <c:formatCode>General</c:formatCode>
                <c:ptCount val="2"/>
                <c:pt idx="0">
                  <c:v>14600</c:v>
                </c:pt>
                <c:pt idx="1">
                  <c:v>8668.75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39-4452-812D-228BA4240DE7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Total Cost Required For System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75527562359665"/>
          <c:y val="0.22687117013831318"/>
          <c:w val="0.4130450193793595"/>
          <c:h val="0.688408419857011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E4-41C7-9C88-803D4B6D2D6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E4-41C7-9C88-803D4B6D2D6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E4-41C7-9C88-803D4B6D2D6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E4-41C7-9C88-803D4B6D2D6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E4-41C7-9C88-803D4B6D2D65}"/>
              </c:ext>
            </c:extLst>
          </c:dPt>
          <c:dLbls>
            <c:dLbl>
              <c:idx val="0"/>
              <c:layout>
                <c:manualLayout>
                  <c:x val="9.3653531473675E-2"/>
                  <c:y val="-6.80388946752237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E4-41C7-9C88-803D4B6D2D65}"/>
                </c:ext>
              </c:extLst>
            </c:dLbl>
            <c:dLbl>
              <c:idx val="1"/>
              <c:layout>
                <c:manualLayout>
                  <c:x val="0.11526588489067705"/>
                  <c:y val="5.2029742986935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E4-41C7-9C88-803D4B6D2D65}"/>
                </c:ext>
              </c:extLst>
            </c:dLbl>
            <c:dLbl>
              <c:idx val="2"/>
              <c:layout>
                <c:manualLayout>
                  <c:x val="-0.11526588489067705"/>
                  <c:y val="5.2029742986935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E4-41C7-9C88-803D4B6D2D65}"/>
                </c:ext>
              </c:extLst>
            </c:dLbl>
            <c:dLbl>
              <c:idx val="3"/>
              <c:layout>
                <c:manualLayout>
                  <c:x val="-0.11046313968689885"/>
                  <c:y val="-0.132075501428375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E4-41C7-9C88-803D4B6D2D65}"/>
                </c:ext>
              </c:extLst>
            </c:dLbl>
            <c:dLbl>
              <c:idx val="4"/>
              <c:layout>
                <c:manualLayout>
                  <c:x val="-0.1248713752982335"/>
                  <c:y val="-0.140080077272519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E4-41C7-9C88-803D4B6D2D65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Financial!$C$5:$C$9</c:f>
              <c:strCache>
                <c:ptCount val="5"/>
                <c:pt idx="0">
                  <c:v>Panel Cost</c:v>
                </c:pt>
                <c:pt idx="1">
                  <c:v>Inverter Cost</c:v>
                </c:pt>
                <c:pt idx="2">
                  <c:v>Structure &amp; Frame Cost</c:v>
                </c:pt>
                <c:pt idx="3">
                  <c:v>On-Grid (Net Metering)</c:v>
                </c:pt>
                <c:pt idx="4">
                  <c:v>Total Labor Cost</c:v>
                </c:pt>
              </c:strCache>
            </c:strRef>
          </c:cat>
          <c:val>
            <c:numRef>
              <c:f>Financial!$D$5:$D$9</c:f>
              <c:numCache>
                <c:formatCode>General</c:formatCode>
                <c:ptCount val="5"/>
                <c:pt idx="0">
                  <c:v>77625.868055555547</c:v>
                </c:pt>
                <c:pt idx="1">
                  <c:v>140000</c:v>
                </c:pt>
                <c:pt idx="2">
                  <c:v>60000</c:v>
                </c:pt>
                <c:pt idx="3">
                  <c:v>65000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E4-41C7-9C88-803D4B6D2D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74100213648283"/>
          <c:y val="0.39870057662000297"/>
          <c:w val="0.26481860969716231"/>
          <c:h val="0.286994632098735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308120773252343"/>
          <c:y val="3.7281104560707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Financial!$F$8</c:f>
              <c:strCache>
                <c:ptCount val="1"/>
                <c:pt idx="0">
                  <c:v>Payback Period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Financial!$G$8</c:f>
              <c:numCache>
                <c:formatCode>General</c:formatCode>
                <c:ptCount val="1"/>
                <c:pt idx="0">
                  <c:v>16.443765481839616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4-46FE-92BB-B36C2AE6B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5032496"/>
        <c:axId val="1605036816"/>
      </c:barChart>
      <c:catAx>
        <c:axId val="1605032496"/>
        <c:scaling>
          <c:orientation val="minMax"/>
        </c:scaling>
        <c:delete val="1"/>
        <c:axPos val="l"/>
        <c:majorTickMark val="none"/>
        <c:minorTickMark val="none"/>
        <c:tickLblPos val="nextTo"/>
        <c:crossAx val="1605036816"/>
        <c:crosses val="autoZero"/>
        <c:auto val="1"/>
        <c:lblAlgn val="ctr"/>
        <c:lblOffset val="100"/>
        <c:noMultiLvlLbl val="0"/>
      </c:catAx>
      <c:valAx>
        <c:axId val="160503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 i="0"/>
                  <a:t>Years</a:t>
                </a:r>
                <a:r>
                  <a:rPr lang="en-US" sz="1800" i="0" baseline="0"/>
                  <a:t> Required</a:t>
                </a:r>
                <a:br>
                  <a:rPr lang="en-US" sz="1800" i="0" baseline="0"/>
                </a:br>
                <a:r>
                  <a:rPr lang="en-US" sz="1800" i="0" baseline="0"/>
                  <a:t>(cover initial investment)</a:t>
                </a:r>
                <a:endParaRPr lang="en-US" sz="1800" i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5032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792480</xdr:colOff>
      <xdr:row>13</xdr:row>
      <xdr:rowOff>285007</xdr:rowOff>
    </xdr:from>
    <xdr:to>
      <xdr:col>8</xdr:col>
      <xdr:colOff>1273530</xdr:colOff>
      <xdr:row>25</xdr:row>
      <xdr:rowOff>603314</xdr:rowOff>
    </xdr:to>
    <xdr:graphicFrame macro="">
      <xdr:nvGraphicFramePr>
        <xdr:cNvPr id="3" name="Chart 2" descr="Load Consumed vs Energy Generation">
          <a:extLst>
            <a:ext uri="{FF2B5EF4-FFF2-40B4-BE49-F238E27FC236}">
              <a16:creationId xmlns:a16="http://schemas.microsoft.com/office/drawing/2014/main" id="{BA4674C7-2864-2FE7-C607-7DB79FFC6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342253</xdr:colOff>
      <xdr:row>11</xdr:row>
      <xdr:rowOff>12391</xdr:rowOff>
    </xdr:from>
    <xdr:to>
      <xdr:col>17</xdr:col>
      <xdr:colOff>60961</xdr:colOff>
      <xdr:row>25</xdr:row>
      <xdr:rowOff>598437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2A6F7772-68DF-0187-DEE6-2B31B1F94D7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114419</xdr:colOff>
      <xdr:row>28</xdr:row>
      <xdr:rowOff>43871</xdr:rowOff>
    </xdr:from>
    <xdr:to>
      <xdr:col>19</xdr:col>
      <xdr:colOff>98714</xdr:colOff>
      <xdr:row>60</xdr:row>
      <xdr:rowOff>65067</xdr:rowOff>
    </xdr:to>
    <xdr:graphicFrame macro="">
      <xdr:nvGraphicFramePr>
        <xdr:cNvPr id="17" name="Chart 12">
          <a:extLst>
            <a:ext uri="{FF2B5EF4-FFF2-40B4-BE49-F238E27FC236}">
              <a16:creationId xmlns:a16="http://schemas.microsoft.com/office/drawing/2014/main" id="{E0D63FAA-0CE2-7C5F-6BBE-63BE50906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110266</xdr:colOff>
      <xdr:row>35</xdr:row>
      <xdr:rowOff>89569</xdr:rowOff>
    </xdr:from>
    <xdr:to>
      <xdr:col>10</xdr:col>
      <xdr:colOff>22045</xdr:colOff>
      <xdr:row>57</xdr:row>
      <xdr:rowOff>107403</xdr:rowOff>
    </xdr:to>
    <xdr:graphicFrame macro="">
      <xdr:nvGraphicFramePr>
        <xdr:cNvPr id="18" name="Chart 14">
          <a:extLst>
            <a:ext uri="{FF2B5EF4-FFF2-40B4-BE49-F238E27FC236}">
              <a16:creationId xmlns:a16="http://schemas.microsoft.com/office/drawing/2014/main" id="{B9D60012-145C-8447-DA1C-5621A8E36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2293076</xdr:colOff>
      <xdr:row>62</xdr:row>
      <xdr:rowOff>97712</xdr:rowOff>
    </xdr:from>
    <xdr:to>
      <xdr:col>10</xdr:col>
      <xdr:colOff>695960</xdr:colOff>
      <xdr:row>102</xdr:row>
      <xdr:rowOff>47106</xdr:rowOff>
    </xdr:to>
    <xdr:graphicFrame macro="">
      <xdr:nvGraphicFramePr>
        <xdr:cNvPr id="20" name="Chart 16">
          <a:extLst>
            <a:ext uri="{FF2B5EF4-FFF2-40B4-BE49-F238E27FC236}">
              <a16:creationId xmlns:a16="http://schemas.microsoft.com/office/drawing/2014/main" id="{68D8E65C-3005-B502-D490-2CFB7EDEF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SunEnergy Value</v>
  </rv>
  <rv s="1">
    <v>0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853D-3A1C-41DD-ADC6-99A430AD8987}">
  <dimension ref="A1:E15"/>
  <sheetViews>
    <sheetView zoomScale="85" zoomScaleNormal="85" workbookViewId="0">
      <selection activeCell="D11" sqref="D11"/>
    </sheetView>
  </sheetViews>
  <sheetFormatPr defaultRowHeight="13.8" x14ac:dyDescent="0.25"/>
  <cols>
    <col min="1" max="1" width="67.44140625" style="2" customWidth="1"/>
    <col min="2" max="2" width="8.88671875" style="2"/>
    <col min="3" max="3" width="25.88671875" style="2" customWidth="1"/>
    <col min="4" max="4" width="41.44140625" style="2" customWidth="1"/>
    <col min="5" max="5" width="21.33203125" style="2" customWidth="1"/>
    <col min="6" max="16384" width="8.88671875" style="2"/>
  </cols>
  <sheetData>
    <row r="1" spans="1:5" s="1" customFormat="1" ht="97.8" customHeight="1" x14ac:dyDescent="0.3">
      <c r="A1" s="3" t="s">
        <v>0</v>
      </c>
      <c r="D1" s="7" t="s">
        <v>11</v>
      </c>
    </row>
    <row r="3" spans="1:5" s="4" customFormat="1" ht="34.799999999999997" customHeight="1" x14ac:dyDescent="0.3">
      <c r="C3" s="4" t="s">
        <v>1</v>
      </c>
      <c r="D3" s="4" t="s">
        <v>2</v>
      </c>
      <c r="E3" s="4" t="s">
        <v>3</v>
      </c>
    </row>
    <row r="4" spans="1:5" s="4" customFormat="1" ht="34.799999999999997" customHeight="1" x14ac:dyDescent="0.3"/>
    <row r="5" spans="1:5" s="4" customFormat="1" ht="34.799999999999997" customHeight="1" x14ac:dyDescent="0.3">
      <c r="C5" s="6" t="s">
        <v>33</v>
      </c>
      <c r="D5" s="6">
        <v>365</v>
      </c>
      <c r="E5" s="6" t="s">
        <v>37</v>
      </c>
    </row>
    <row r="6" spans="1:5" ht="27.6" customHeight="1" x14ac:dyDescent="0.25">
      <c r="C6" s="6" t="s">
        <v>34</v>
      </c>
      <c r="D6" s="6">
        <f>(D5/12)</f>
        <v>30.416666666666668</v>
      </c>
      <c r="E6" s="6" t="s">
        <v>38</v>
      </c>
    </row>
    <row r="7" spans="1:5" s="5" customFormat="1" ht="25.8" customHeight="1" x14ac:dyDescent="0.3">
      <c r="C7" s="6" t="s">
        <v>35</v>
      </c>
      <c r="D7" s="6">
        <f>(D6/30)</f>
        <v>1.0138888888888888</v>
      </c>
      <c r="E7" s="6" t="s">
        <v>8</v>
      </c>
    </row>
    <row r="8" spans="1:5" s="5" customFormat="1" ht="15.6" x14ac:dyDescent="0.3">
      <c r="C8" s="6" t="s">
        <v>4</v>
      </c>
      <c r="D8" s="6" t="s">
        <v>7</v>
      </c>
      <c r="E8" s="6"/>
    </row>
    <row r="9" spans="1:5" s="5" customFormat="1" ht="15.6" x14ac:dyDescent="0.3">
      <c r="C9" s="6" t="s">
        <v>5</v>
      </c>
      <c r="D9" s="6">
        <v>5</v>
      </c>
      <c r="E9" s="6" t="s">
        <v>9</v>
      </c>
    </row>
    <row r="10" spans="1:5" s="5" customFormat="1" ht="15.6" x14ac:dyDescent="0.3">
      <c r="C10" s="6" t="s">
        <v>36</v>
      </c>
      <c r="D10" s="6">
        <v>0.8</v>
      </c>
      <c r="E10" s="6"/>
    </row>
    <row r="11" spans="1:5" s="5" customFormat="1" ht="15.6" x14ac:dyDescent="0.3">
      <c r="C11" s="6" t="s">
        <v>6</v>
      </c>
      <c r="D11" s="6">
        <f>(D7/(D9 * D10)) * 1.75</f>
        <v>0.44357638888888884</v>
      </c>
      <c r="E11" s="6" t="s">
        <v>10</v>
      </c>
    </row>
    <row r="12" spans="1:5" ht="15.6" x14ac:dyDescent="0.25">
      <c r="C12" s="6" t="s">
        <v>42</v>
      </c>
      <c r="D12" s="6">
        <v>550</v>
      </c>
      <c r="E12" s="6" t="s">
        <v>43</v>
      </c>
    </row>
    <row r="15" spans="1:5" ht="34.799999999999997" customHeight="1" x14ac:dyDescent="0.25">
      <c r="C15" s="6" t="s">
        <v>81</v>
      </c>
      <c r="D15" s="6">
        <v>0.5</v>
      </c>
      <c r="E15" s="6" t="s">
        <v>82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55D5-0DBB-46D9-B906-A7884966A332}">
  <dimension ref="A1:F15"/>
  <sheetViews>
    <sheetView zoomScale="85" zoomScaleNormal="85" workbookViewId="0">
      <selection activeCell="E14" sqref="E14"/>
    </sheetView>
  </sheetViews>
  <sheetFormatPr defaultRowHeight="13.8" x14ac:dyDescent="0.25"/>
  <cols>
    <col min="1" max="1" width="62.44140625" style="2" customWidth="1"/>
    <col min="2" max="2" width="11.77734375" style="2" customWidth="1"/>
    <col min="3" max="3" width="35.109375" style="2" customWidth="1"/>
    <col min="4" max="4" width="31.33203125" style="2" customWidth="1"/>
    <col min="5" max="5" width="29" style="2" customWidth="1"/>
    <col min="6" max="6" width="18.109375" style="1" customWidth="1"/>
    <col min="7" max="16384" width="8.88671875" style="2"/>
  </cols>
  <sheetData>
    <row r="1" spans="1:6" ht="92.4" customHeight="1" x14ac:dyDescent="0.25">
      <c r="A1" s="3" t="s">
        <v>0</v>
      </c>
      <c r="B1" s="1"/>
      <c r="C1" s="1"/>
      <c r="D1" s="7" t="s">
        <v>12</v>
      </c>
      <c r="E1" s="1"/>
    </row>
    <row r="3" spans="1:6" s="4" customFormat="1" ht="45" customHeight="1" x14ac:dyDescent="0.3">
      <c r="C3" s="4" t="s">
        <v>1</v>
      </c>
      <c r="E3" s="4" t="s">
        <v>13</v>
      </c>
      <c r="F3" s="4" t="s">
        <v>3</v>
      </c>
    </row>
    <row r="4" spans="1:6" x14ac:dyDescent="0.25">
      <c r="C4" s="1"/>
      <c r="D4" s="1"/>
      <c r="E4" s="1"/>
    </row>
    <row r="5" spans="1:6" ht="15.6" x14ac:dyDescent="0.3">
      <c r="A5" s="5"/>
      <c r="B5" s="5"/>
      <c r="C5" s="6" t="s">
        <v>39</v>
      </c>
      <c r="D5" s="6"/>
      <c r="E5" s="6">
        <f>(E6 * 12)</f>
        <v>798.4375</v>
      </c>
      <c r="F5" s="1" t="s">
        <v>26</v>
      </c>
    </row>
    <row r="6" spans="1:6" ht="15.6" x14ac:dyDescent="0.3">
      <c r="A6" s="5"/>
      <c r="B6" s="5"/>
      <c r="C6" s="6" t="s">
        <v>40</v>
      </c>
      <c r="D6" s="6"/>
      <c r="E6" s="6">
        <f>(E7 * 30)</f>
        <v>66.536458333333329</v>
      </c>
      <c r="F6" s="1" t="s">
        <v>38</v>
      </c>
    </row>
    <row r="7" spans="1:6" ht="15.6" x14ac:dyDescent="0.3">
      <c r="A7" s="5"/>
      <c r="B7" s="5"/>
      <c r="C7" s="6" t="s">
        <v>41</v>
      </c>
      <c r="D7" s="6"/>
      <c r="E7" s="6">
        <f>(Inputs!D11 * Inputs!D9)</f>
        <v>2.2178819444444442</v>
      </c>
      <c r="F7" s="1" t="s">
        <v>8</v>
      </c>
    </row>
    <row r="8" spans="1:6" ht="15.6" x14ac:dyDescent="0.3">
      <c r="A8" s="5"/>
      <c r="B8" s="5"/>
      <c r="C8" s="6" t="s">
        <v>14</v>
      </c>
      <c r="D8" s="6"/>
      <c r="E8" s="6">
        <f>(Inputs!D11 * 1000) / Inputs!D12</f>
        <v>0.80650252525252519</v>
      </c>
    </row>
    <row r="9" spans="1:6" ht="15.6" x14ac:dyDescent="0.3">
      <c r="A9" s="5"/>
      <c r="B9" s="5"/>
      <c r="C9" s="6" t="s">
        <v>15</v>
      </c>
      <c r="D9" s="6"/>
      <c r="E9" s="6">
        <f>(Inputs!D11 * 1.5)</f>
        <v>0.66536458333333326</v>
      </c>
      <c r="F9" s="1" t="s">
        <v>10</v>
      </c>
    </row>
    <row r="11" spans="1:6" s="8" customFormat="1" ht="40.200000000000003" customHeight="1" x14ac:dyDescent="0.35">
      <c r="C11" s="9" t="s">
        <v>48</v>
      </c>
      <c r="D11" s="9"/>
      <c r="E11" s="9">
        <f>(E5 - Inputs!D5)</f>
        <v>433.4375</v>
      </c>
      <c r="F11" s="10" t="s">
        <v>37</v>
      </c>
    </row>
    <row r="14" spans="1:6" ht="15.6" x14ac:dyDescent="0.25">
      <c r="C14" s="6" t="s">
        <v>83</v>
      </c>
      <c r="D14" s="6"/>
      <c r="E14" s="6">
        <f>E5 * Inputs!D15</f>
        <v>399.21875</v>
      </c>
      <c r="F14" s="6" t="s">
        <v>84</v>
      </c>
    </row>
    <row r="15" spans="1:6" ht="15.6" x14ac:dyDescent="0.25">
      <c r="C15" s="6" t="s">
        <v>85</v>
      </c>
      <c r="D15" s="6"/>
      <c r="E15" s="6">
        <f>E14 * 25</f>
        <v>9980.46875</v>
      </c>
      <c r="F15" s="6" t="s">
        <v>84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D37E-9CA4-47A5-9BBD-EF40AC279862}">
  <dimension ref="A1:H14"/>
  <sheetViews>
    <sheetView zoomScale="70" zoomScaleNormal="70" workbookViewId="0">
      <selection activeCell="D12" sqref="D12"/>
    </sheetView>
  </sheetViews>
  <sheetFormatPr defaultRowHeight="13.8" x14ac:dyDescent="0.25"/>
  <cols>
    <col min="1" max="1" width="64.44140625" style="2" customWidth="1"/>
    <col min="2" max="2" width="8.88671875" style="2"/>
    <col min="3" max="3" width="28.88671875" style="2" customWidth="1"/>
    <col min="4" max="4" width="32.33203125" style="2" customWidth="1"/>
    <col min="5" max="5" width="35.109375" style="2" customWidth="1"/>
    <col min="6" max="6" width="49" style="2" customWidth="1"/>
    <col min="7" max="7" width="26.44140625" style="2" customWidth="1"/>
    <col min="8" max="8" width="16.33203125" style="1" customWidth="1"/>
    <col min="9" max="12" width="8.88671875" style="2" customWidth="1"/>
    <col min="13" max="16384" width="8.88671875" style="2"/>
  </cols>
  <sheetData>
    <row r="1" spans="1:8" ht="90.6" customHeight="1" x14ac:dyDescent="0.25">
      <c r="A1" s="3" t="s">
        <v>0</v>
      </c>
      <c r="B1" s="1"/>
      <c r="C1" s="1"/>
      <c r="D1" s="7" t="s">
        <v>16</v>
      </c>
      <c r="E1" s="1"/>
    </row>
    <row r="3" spans="1:8" s="4" customFormat="1" ht="34.799999999999997" customHeight="1" x14ac:dyDescent="0.3">
      <c r="C3" s="4" t="s">
        <v>1</v>
      </c>
      <c r="D3" s="4" t="s">
        <v>13</v>
      </c>
      <c r="E3" s="4" t="s">
        <v>3</v>
      </c>
      <c r="F3" s="4" t="s">
        <v>29</v>
      </c>
      <c r="G3" s="4" t="s">
        <v>13</v>
      </c>
      <c r="H3" s="4" t="s">
        <v>3</v>
      </c>
    </row>
    <row r="4" spans="1:8" x14ac:dyDescent="0.25">
      <c r="C4" s="1"/>
      <c r="D4" s="1"/>
      <c r="E4" s="1"/>
    </row>
    <row r="5" spans="1:8" ht="15.6" x14ac:dyDescent="0.25">
      <c r="C5" s="6" t="s">
        <v>20</v>
      </c>
      <c r="D5" s="6">
        <f>(Inputs!D11 * G14)</f>
        <v>77625.868055555547</v>
      </c>
      <c r="E5" s="6" t="s">
        <v>65</v>
      </c>
      <c r="F5" s="6" t="s">
        <v>27</v>
      </c>
      <c r="G5" s="6">
        <f>(Inputs!D5 * G12)</f>
        <v>14600</v>
      </c>
      <c r="H5" s="1" t="s">
        <v>30</v>
      </c>
    </row>
    <row r="6" spans="1:8" ht="15.6" x14ac:dyDescent="0.25">
      <c r="C6" s="6" t="s">
        <v>21</v>
      </c>
      <c r="D6" s="6">
        <v>140000</v>
      </c>
      <c r="E6" s="6" t="s">
        <v>65</v>
      </c>
      <c r="F6" s="6" t="s">
        <v>28</v>
      </c>
      <c r="G6" s="6">
        <f>(Technical!E11 * G13)</f>
        <v>8668.75</v>
      </c>
      <c r="H6" s="1" t="s">
        <v>30</v>
      </c>
    </row>
    <row r="7" spans="1:8" ht="17.399999999999999" x14ac:dyDescent="0.25">
      <c r="C7" s="6" t="s">
        <v>22</v>
      </c>
      <c r="D7" s="6">
        <v>60000</v>
      </c>
      <c r="E7" s="6" t="s">
        <v>65</v>
      </c>
      <c r="F7" s="9" t="s">
        <v>17</v>
      </c>
      <c r="G7" s="9">
        <f>SUM(G5:G6)</f>
        <v>23268.75</v>
      </c>
      <c r="H7" s="9" t="s">
        <v>30</v>
      </c>
    </row>
    <row r="8" spans="1:8" ht="15.6" x14ac:dyDescent="0.25">
      <c r="C8" s="6" t="s">
        <v>23</v>
      </c>
      <c r="D8" s="6">
        <v>65000</v>
      </c>
      <c r="E8" s="6" t="s">
        <v>65</v>
      </c>
      <c r="F8" s="6" t="s">
        <v>18</v>
      </c>
      <c r="G8" s="6">
        <f>D10/G7</f>
        <v>16.443765481839616</v>
      </c>
      <c r="H8" s="1" t="s">
        <v>31</v>
      </c>
    </row>
    <row r="9" spans="1:8" ht="26.4" customHeight="1" x14ac:dyDescent="0.25">
      <c r="C9" s="6" t="s">
        <v>24</v>
      </c>
      <c r="D9" s="6">
        <v>40000</v>
      </c>
      <c r="E9" s="6" t="s">
        <v>65</v>
      </c>
      <c r="F9" s="6" t="s">
        <v>19</v>
      </c>
      <c r="G9" s="6">
        <f>(1/G8) * 100</f>
        <v>6.0813321687443986</v>
      </c>
      <c r="H9" s="1" t="s">
        <v>32</v>
      </c>
    </row>
    <row r="10" spans="1:8" s="1" customFormat="1" ht="94.8" customHeight="1" x14ac:dyDescent="0.3">
      <c r="C10" s="9" t="s">
        <v>25</v>
      </c>
      <c r="D10" s="9">
        <f>SUM(D5:D9)</f>
        <v>382625.86805555556</v>
      </c>
      <c r="E10" s="6" t="s">
        <v>65</v>
      </c>
      <c r="F10" s="21" t="str">
        <f>"This system covers initial investment in "&amp; ROUND(G8,1) &amp;" Years &amp; gives free electricity in next "&amp; ROUND(D12-G8,1) &amp;" Years."</f>
        <v>This system covers initial investment in 16.4 Years &amp; gives free electricity in next 8.6 Years.</v>
      </c>
    </row>
    <row r="11" spans="1:8" s="1" customFormat="1" ht="43.2" customHeight="1" x14ac:dyDescent="0.3">
      <c r="C11" s="6"/>
      <c r="F11" s="4" t="s">
        <v>44</v>
      </c>
      <c r="G11" s="4" t="s">
        <v>45</v>
      </c>
    </row>
    <row r="12" spans="1:8" s="1" customFormat="1" ht="43.2" customHeight="1" x14ac:dyDescent="0.3">
      <c r="C12" s="9" t="s">
        <v>89</v>
      </c>
      <c r="D12" s="9">
        <v>25</v>
      </c>
      <c r="E12" s="6" t="s">
        <v>31</v>
      </c>
      <c r="F12" s="6" t="s">
        <v>46</v>
      </c>
      <c r="G12" s="6">
        <v>40</v>
      </c>
    </row>
    <row r="13" spans="1:8" ht="57" customHeight="1" x14ac:dyDescent="0.3">
      <c r="A13" s="5"/>
      <c r="B13" s="5"/>
      <c r="C13" s="6"/>
      <c r="F13" s="6" t="s">
        <v>47</v>
      </c>
      <c r="G13" s="6">
        <v>20</v>
      </c>
    </row>
    <row r="14" spans="1:8" s="1" customFormat="1" ht="43.2" customHeight="1" x14ac:dyDescent="0.3">
      <c r="A14" s="6"/>
      <c r="B14" s="6"/>
      <c r="C14" s="6"/>
      <c r="F14" s="1" t="s">
        <v>49</v>
      </c>
      <c r="G14" s="1">
        <v>175000</v>
      </c>
    </row>
  </sheetData>
  <sheetProtection selectLockedCells="1" selectUn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8B3A-DFCB-4C83-901F-DB8724A3A5D9}">
  <dimension ref="A1:C9"/>
  <sheetViews>
    <sheetView topLeftCell="A2" zoomScale="70" zoomScaleNormal="70" workbookViewId="0">
      <selection activeCell="B5" sqref="B5"/>
    </sheetView>
  </sheetViews>
  <sheetFormatPr defaultRowHeight="13.8" x14ac:dyDescent="0.25"/>
  <cols>
    <col min="1" max="1" width="61.44140625" style="2" customWidth="1"/>
    <col min="2" max="2" width="79.33203125" style="2" customWidth="1"/>
    <col min="3" max="3" width="35.6640625" style="2" customWidth="1"/>
    <col min="4" max="16384" width="8.88671875" style="2"/>
  </cols>
  <sheetData>
    <row r="1" spans="1:3" ht="120" customHeight="1" x14ac:dyDescent="0.25">
      <c r="A1" s="3" t="s">
        <v>0</v>
      </c>
      <c r="B1" s="1" t="e" vm="1">
        <v>#VALUE!</v>
      </c>
    </row>
    <row r="2" spans="1:3" ht="54.6" customHeight="1" x14ac:dyDescent="0.25"/>
    <row r="3" spans="1:3" ht="79.2" customHeight="1" x14ac:dyDescent="0.25">
      <c r="A3" s="22" t="s">
        <v>86</v>
      </c>
      <c r="B3" s="23"/>
      <c r="C3" s="23"/>
    </row>
    <row r="4" spans="1:3" ht="51.6" customHeight="1" x14ac:dyDescent="0.25">
      <c r="A4" s="24" t="s">
        <v>1</v>
      </c>
      <c r="B4" s="24" t="s">
        <v>2</v>
      </c>
      <c r="C4" s="24" t="s">
        <v>3</v>
      </c>
    </row>
    <row r="5" spans="1:3" ht="63.6" customHeight="1" x14ac:dyDescent="0.25">
      <c r="A5" s="25" t="s">
        <v>87</v>
      </c>
      <c r="B5" s="25">
        <f>Technical!E14</f>
        <v>399.21875</v>
      </c>
      <c r="C5" s="25" t="s">
        <v>91</v>
      </c>
    </row>
    <row r="6" spans="1:3" ht="62.4" customHeight="1" x14ac:dyDescent="0.25">
      <c r="A6" s="25" t="s">
        <v>88</v>
      </c>
      <c r="B6" s="25">
        <f>Technical!E15</f>
        <v>9980.46875</v>
      </c>
      <c r="C6" s="25" t="s">
        <v>84</v>
      </c>
    </row>
    <row r="7" spans="1:3" s="14" customFormat="1" ht="79.8" customHeight="1" x14ac:dyDescent="0.3">
      <c r="A7" s="25" t="s">
        <v>90</v>
      </c>
      <c r="B7" s="14">
        <v>21</v>
      </c>
      <c r="C7" s="14" t="s">
        <v>91</v>
      </c>
    </row>
    <row r="8" spans="1:3" s="14" customFormat="1" ht="61.2" customHeight="1" x14ac:dyDescent="0.3">
      <c r="A8" s="14" t="s">
        <v>93</v>
      </c>
      <c r="B8" s="14">
        <f>B5/B7</f>
        <v>19.010416666666668</v>
      </c>
      <c r="C8" s="14" t="s">
        <v>94</v>
      </c>
    </row>
    <row r="9" spans="1:3" s="14" customFormat="1" ht="136.80000000000001" customHeight="1" x14ac:dyDescent="0.3">
      <c r="A9" s="26" t="s">
        <v>92</v>
      </c>
      <c r="B9" s="25" t="str">
        <f>"The PV Solar System will reduce "&amp; ROUND(B5,1) &amp;" kg/Year that enhances the sustainable environment. Reduction of Carbon dioxide annually will implant total "&amp; ROUND(B8,1) &amp;" trees."</f>
        <v>The PV Solar System will reduce 399.2 kg/Year that enhances the sustainable environment. Reduction of Carbon dioxide annually will implant total 19 trees.</v>
      </c>
    </row>
  </sheetData>
  <sheetProtection selectLockedCells="1" selectUn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7E0F-F085-4FAD-916B-AF47D1F04BB0}">
  <sheetPr>
    <pageSetUpPr fitToPage="1"/>
  </sheetPr>
  <dimension ref="A1:K31"/>
  <sheetViews>
    <sheetView topLeftCell="A4" zoomScale="96" zoomScaleNormal="96" zoomScalePageLayoutView="34" workbookViewId="0">
      <selection activeCell="J8" sqref="J8"/>
    </sheetView>
  </sheetViews>
  <sheetFormatPr defaultRowHeight="13.8" x14ac:dyDescent="0.3"/>
  <cols>
    <col min="1" max="1" width="73.6640625" style="1" customWidth="1"/>
    <col min="2" max="2" width="54" style="1" customWidth="1"/>
    <col min="3" max="3" width="37.44140625" style="1" customWidth="1"/>
    <col min="4" max="4" width="43.88671875" style="1" customWidth="1"/>
    <col min="5" max="5" width="62.109375" style="1" customWidth="1"/>
    <col min="6" max="6" width="41" style="1" customWidth="1"/>
    <col min="7" max="7" width="27.109375" style="1" customWidth="1"/>
    <col min="8" max="8" width="16.77734375" style="1" customWidth="1"/>
    <col min="9" max="9" width="46.33203125" style="1" customWidth="1"/>
    <col min="10" max="10" width="38.33203125" style="1" customWidth="1"/>
    <col min="11" max="11" width="34.5546875" style="1" customWidth="1"/>
    <col min="12" max="17" width="8.88671875" style="1"/>
    <col min="18" max="18" width="26.5546875" style="1" customWidth="1"/>
    <col min="19" max="19" width="27.109375" style="1" customWidth="1"/>
    <col min="20" max="24" width="8.88671875" style="1"/>
    <col min="25" max="25" width="27.6640625" style="1" customWidth="1"/>
    <col min="26" max="26" width="9.21875" style="1" bestFit="1" customWidth="1"/>
    <col min="27" max="16384" width="8.88671875" style="1"/>
  </cols>
  <sheetData>
    <row r="1" spans="1:11" ht="141.6" customHeight="1" x14ac:dyDescent="0.3">
      <c r="A1" s="3" t="s">
        <v>0</v>
      </c>
      <c r="B1" s="1" t="e" vm="2">
        <v>#VALUE!</v>
      </c>
      <c r="C1" s="12"/>
      <c r="D1" s="19" t="s">
        <v>51</v>
      </c>
      <c r="E1" s="20" t="str">
        <f>IF(Financial!G8&lt;=6, "Highly Recommended", IF(Financial!G8&lt;=8.8, "Moderate", "Not Recommended"))</f>
        <v>Not Recommended</v>
      </c>
      <c r="K1" s="7" t="s">
        <v>50</v>
      </c>
    </row>
    <row r="2" spans="1:11" ht="141.6" customHeight="1" x14ac:dyDescent="0.3">
      <c r="C2" s="13" t="s">
        <v>52</v>
      </c>
      <c r="D2" s="13"/>
    </row>
    <row r="3" spans="1:11" ht="79.2" customHeight="1" x14ac:dyDescent="0.3">
      <c r="A3" s="16" t="s">
        <v>53</v>
      </c>
      <c r="B3" s="15">
        <f ca="1">TODAY()</f>
        <v>46075</v>
      </c>
    </row>
    <row r="4" spans="1:11" s="11" customFormat="1" ht="89.4" customHeight="1" x14ac:dyDescent="0.3">
      <c r="A4" s="17" t="s">
        <v>54</v>
      </c>
      <c r="E4" s="17" t="s">
        <v>58</v>
      </c>
      <c r="I4" s="17" t="s">
        <v>66</v>
      </c>
    </row>
    <row r="5" spans="1:11" s="16" customFormat="1" ht="89.4" customHeight="1" x14ac:dyDescent="0.3">
      <c r="A5" s="16" t="s">
        <v>1</v>
      </c>
      <c r="B5" s="16" t="s">
        <v>2</v>
      </c>
      <c r="C5" s="16" t="s">
        <v>3</v>
      </c>
      <c r="E5" s="16" t="s">
        <v>64</v>
      </c>
      <c r="F5" s="16" t="s">
        <v>2</v>
      </c>
      <c r="G5" s="16" t="s">
        <v>3</v>
      </c>
      <c r="I5" s="16" t="s">
        <v>64</v>
      </c>
      <c r="J5" s="16" t="s">
        <v>2</v>
      </c>
      <c r="K5" s="16" t="s">
        <v>3</v>
      </c>
    </row>
    <row r="6" spans="1:11" ht="67.2" customHeight="1" x14ac:dyDescent="0.3">
      <c r="A6" s="14" t="s">
        <v>55</v>
      </c>
      <c r="B6" s="14">
        <f>Inputs!D5</f>
        <v>365</v>
      </c>
      <c r="C6" s="14" t="s">
        <v>37</v>
      </c>
      <c r="E6" s="14" t="s">
        <v>63</v>
      </c>
      <c r="F6" s="14">
        <f>Inputs!D12</f>
        <v>550</v>
      </c>
      <c r="G6" s="14" t="s">
        <v>43</v>
      </c>
      <c r="I6" s="14" t="s">
        <v>67</v>
      </c>
      <c r="J6" s="14">
        <f>Technical!E5</f>
        <v>798.4375</v>
      </c>
      <c r="K6" s="14" t="s">
        <v>37</v>
      </c>
    </row>
    <row r="7" spans="1:11" ht="61.2" customHeight="1" x14ac:dyDescent="0.3">
      <c r="A7" s="14" t="s">
        <v>34</v>
      </c>
      <c r="B7" s="14">
        <f>Inputs!D6</f>
        <v>30.416666666666668</v>
      </c>
      <c r="C7" s="14" t="s">
        <v>38</v>
      </c>
      <c r="E7" s="14" t="s">
        <v>59</v>
      </c>
      <c r="F7" s="14">
        <f>Inputs!D11</f>
        <v>0.44357638888888884</v>
      </c>
      <c r="G7" s="14" t="s">
        <v>10</v>
      </c>
      <c r="I7" s="14" t="s">
        <v>68</v>
      </c>
      <c r="J7" s="14">
        <f>Technical!E6</f>
        <v>66.536458333333329</v>
      </c>
      <c r="K7" s="14" t="s">
        <v>38</v>
      </c>
    </row>
    <row r="8" spans="1:11" ht="52.8" customHeight="1" x14ac:dyDescent="0.3">
      <c r="A8" s="14" t="s">
        <v>56</v>
      </c>
      <c r="B8" s="14">
        <f>Inputs!D7</f>
        <v>1.0138888888888888</v>
      </c>
      <c r="C8" s="14" t="s">
        <v>8</v>
      </c>
      <c r="E8" s="14" t="s">
        <v>60</v>
      </c>
      <c r="F8" s="14">
        <f>Technical!E8</f>
        <v>0.80650252525252519</v>
      </c>
      <c r="G8" s="14"/>
      <c r="I8" s="14" t="s">
        <v>69</v>
      </c>
      <c r="J8" s="14">
        <f>Technical!E7</f>
        <v>2.2178819444444442</v>
      </c>
      <c r="K8" s="14" t="s">
        <v>8</v>
      </c>
    </row>
    <row r="9" spans="1:11" ht="72.599999999999994" customHeight="1" x14ac:dyDescent="0.3">
      <c r="A9" s="14" t="s">
        <v>4</v>
      </c>
      <c r="B9" s="14" t="s">
        <v>57</v>
      </c>
      <c r="C9" s="14"/>
      <c r="E9" s="14" t="s">
        <v>61</v>
      </c>
      <c r="F9" s="14">
        <f>Financial!G14</f>
        <v>175000</v>
      </c>
      <c r="G9" s="14" t="s">
        <v>65</v>
      </c>
    </row>
    <row r="10" spans="1:11" ht="66" customHeight="1" x14ac:dyDescent="0.3">
      <c r="A10" s="14" t="s">
        <v>5</v>
      </c>
      <c r="B10" s="14">
        <f>Inputs!D9</f>
        <v>5</v>
      </c>
      <c r="C10" s="14" t="s">
        <v>9</v>
      </c>
      <c r="E10" s="14" t="s">
        <v>62</v>
      </c>
      <c r="F10" s="14">
        <f>Financial!D5</f>
        <v>77625.868055555547</v>
      </c>
      <c r="G10" s="14" t="s">
        <v>65</v>
      </c>
      <c r="I10" s="14" t="s">
        <v>73</v>
      </c>
      <c r="J10" s="14">
        <f>Technical!E11</f>
        <v>433.4375</v>
      </c>
      <c r="K10" s="14" t="s">
        <v>37</v>
      </c>
    </row>
    <row r="11" spans="1:11" ht="58.2" customHeight="1" x14ac:dyDescent="0.3">
      <c r="A11" s="14" t="s">
        <v>36</v>
      </c>
      <c r="B11" s="18">
        <f>Inputs!D10</f>
        <v>0.8</v>
      </c>
      <c r="E11" s="14" t="s">
        <v>15</v>
      </c>
      <c r="F11" s="14">
        <f>Technical!E9</f>
        <v>0.66536458333333326</v>
      </c>
      <c r="G11" s="14" t="s">
        <v>10</v>
      </c>
    </row>
    <row r="14" spans="1:11" ht="70.2" customHeight="1" x14ac:dyDescent="0.3">
      <c r="A14" s="17" t="s">
        <v>70</v>
      </c>
    </row>
    <row r="15" spans="1:11" ht="67.2" customHeight="1" x14ac:dyDescent="0.3">
      <c r="A15" s="16" t="s">
        <v>1</v>
      </c>
      <c r="B15" s="16" t="s">
        <v>2</v>
      </c>
      <c r="C15" s="16" t="s">
        <v>3</v>
      </c>
    </row>
    <row r="16" spans="1:11" ht="33.6" customHeight="1" x14ac:dyDescent="0.3">
      <c r="A16" s="14" t="s">
        <v>71</v>
      </c>
      <c r="B16" s="14">
        <f>Financial!D10</f>
        <v>382625.86805555556</v>
      </c>
      <c r="C16" s="14" t="s">
        <v>65</v>
      </c>
    </row>
    <row r="17" spans="1:6" ht="33" customHeight="1" x14ac:dyDescent="0.3">
      <c r="A17" s="14" t="s">
        <v>72</v>
      </c>
      <c r="B17" s="14">
        <f>Financial!G12</f>
        <v>40</v>
      </c>
      <c r="C17" s="14" t="s">
        <v>77</v>
      </c>
    </row>
    <row r="18" spans="1:6" ht="37.200000000000003" customHeight="1" x14ac:dyDescent="0.3">
      <c r="A18" s="14" t="s">
        <v>75</v>
      </c>
      <c r="B18" s="14">
        <f>Financial!G5</f>
        <v>14600</v>
      </c>
      <c r="C18" s="14" t="s">
        <v>65</v>
      </c>
    </row>
    <row r="19" spans="1:6" ht="31.2" customHeight="1" x14ac:dyDescent="0.3">
      <c r="A19" s="14" t="s">
        <v>74</v>
      </c>
      <c r="B19" s="14">
        <f>Financial!G13</f>
        <v>20</v>
      </c>
      <c r="C19" s="14" t="s">
        <v>77</v>
      </c>
    </row>
    <row r="20" spans="1:6" ht="44.4" customHeight="1" x14ac:dyDescent="0.3">
      <c r="A20" s="14" t="s">
        <v>76</v>
      </c>
      <c r="B20" s="14">
        <f>Financial!G6</f>
        <v>8668.75</v>
      </c>
      <c r="C20" s="14" t="s">
        <v>65</v>
      </c>
    </row>
    <row r="21" spans="1:6" ht="54.6" customHeight="1" x14ac:dyDescent="0.3">
      <c r="A21" s="14" t="s">
        <v>78</v>
      </c>
      <c r="B21" s="14">
        <f>Financial!G7</f>
        <v>23268.75</v>
      </c>
      <c r="C21" s="14" t="s">
        <v>65</v>
      </c>
    </row>
    <row r="22" spans="1:6" ht="44.4" customHeight="1" x14ac:dyDescent="0.3"/>
    <row r="23" spans="1:6" ht="51.6" customHeight="1" x14ac:dyDescent="0.3">
      <c r="A23" s="16" t="s">
        <v>18</v>
      </c>
      <c r="B23" s="16">
        <f>Financial!G8</f>
        <v>16.443765481839616</v>
      </c>
      <c r="C23" s="16" t="s">
        <v>31</v>
      </c>
    </row>
    <row r="24" spans="1:6" ht="49.8" customHeight="1" x14ac:dyDescent="0.3">
      <c r="A24" s="14" t="s">
        <v>19</v>
      </c>
      <c r="B24" s="14">
        <f>Financial!G9</f>
        <v>6.0813321687443986</v>
      </c>
      <c r="C24" s="14" t="s">
        <v>32</v>
      </c>
    </row>
    <row r="25" spans="1:6" ht="47.4" customHeight="1" x14ac:dyDescent="0.3">
      <c r="A25" s="14"/>
      <c r="B25" s="14"/>
      <c r="C25" s="14"/>
    </row>
    <row r="26" spans="1:6" ht="61.2" customHeight="1" x14ac:dyDescent="0.3">
      <c r="A26" s="16" t="s">
        <v>79</v>
      </c>
      <c r="B26" s="16">
        <f>(B8/J8) * 100</f>
        <v>45.714285714285715</v>
      </c>
      <c r="C26" s="16" t="s">
        <v>80</v>
      </c>
    </row>
    <row r="27" spans="1:6" ht="52.2" customHeight="1" x14ac:dyDescent="0.3"/>
    <row r="28" spans="1:6" ht="166.2" customHeight="1" x14ac:dyDescent="0.3">
      <c r="A28" s="17" t="s">
        <v>86</v>
      </c>
      <c r="E28" s="28" t="s">
        <v>95</v>
      </c>
      <c r="F28" s="27" t="s">
        <v>96</v>
      </c>
    </row>
    <row r="29" spans="1:6" ht="77.400000000000006" customHeight="1" x14ac:dyDescent="0.3">
      <c r="A29" s="16" t="s">
        <v>1</v>
      </c>
      <c r="B29" s="16" t="s">
        <v>2</v>
      </c>
      <c r="C29" s="16" t="s">
        <v>3</v>
      </c>
    </row>
    <row r="30" spans="1:6" ht="45.6" customHeight="1" x14ac:dyDescent="0.3">
      <c r="A30" s="14" t="s">
        <v>87</v>
      </c>
      <c r="B30" s="14">
        <f>Technical!E14</f>
        <v>399.21875</v>
      </c>
      <c r="C30" s="14" t="s">
        <v>84</v>
      </c>
    </row>
    <row r="31" spans="1:6" ht="56.4" customHeight="1" x14ac:dyDescent="0.3">
      <c r="A31" s="14" t="s">
        <v>88</v>
      </c>
      <c r="B31" s="14">
        <f>Technical!E15</f>
        <v>9980.46875</v>
      </c>
      <c r="C31" s="14" t="s">
        <v>84</v>
      </c>
    </row>
  </sheetData>
  <sheetProtection selectLockedCells="1" selectUnlockedCells="1"/>
  <pageMargins left="0.25" right="0.25" top="0.75" bottom="0.75" header="0.3" footer="0.3"/>
  <pageSetup paperSize="8" scale="2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8823-7333-4D93-B1CA-3714C980B6E9}">
  <dimension ref="A1:C50"/>
  <sheetViews>
    <sheetView topLeftCell="A25" zoomScale="107" zoomScaleNormal="107" workbookViewId="0">
      <selection activeCell="B34" sqref="B34"/>
    </sheetView>
  </sheetViews>
  <sheetFormatPr defaultRowHeight="13.8" x14ac:dyDescent="0.25"/>
  <cols>
    <col min="1" max="1" width="53.77734375" style="2" customWidth="1"/>
    <col min="2" max="2" width="31.33203125" style="2" customWidth="1"/>
    <col min="3" max="3" width="35.33203125" style="2" customWidth="1"/>
    <col min="4" max="16384" width="8.88671875" style="2"/>
  </cols>
  <sheetData>
    <row r="1" spans="1:3" ht="72" customHeight="1" x14ac:dyDescent="0.25">
      <c r="A1" s="3" t="s">
        <v>0</v>
      </c>
      <c r="B1" s="1" t="e" vm="2">
        <v>#VALUE!</v>
      </c>
    </row>
    <row r="3" spans="1:3" ht="82.8" customHeight="1" x14ac:dyDescent="0.25">
      <c r="A3" s="22" t="s">
        <v>107</v>
      </c>
      <c r="C3" s="30" t="s">
        <v>97</v>
      </c>
    </row>
    <row r="6" spans="1:3" s="16" customFormat="1" ht="41.4" customHeight="1" x14ac:dyDescent="0.3">
      <c r="A6" s="16" t="s">
        <v>44</v>
      </c>
      <c r="B6" s="16" t="s">
        <v>2</v>
      </c>
      <c r="C6" s="16" t="s">
        <v>104</v>
      </c>
    </row>
    <row r="7" spans="1:3" ht="79.2" customHeight="1" x14ac:dyDescent="0.25">
      <c r="A7" s="6" t="s">
        <v>101</v>
      </c>
      <c r="B7" s="31">
        <v>0.1</v>
      </c>
      <c r="C7" s="32" t="s">
        <v>105</v>
      </c>
    </row>
    <row r="8" spans="1:3" ht="37.200000000000003" customHeight="1" x14ac:dyDescent="0.25">
      <c r="A8" s="29" t="s">
        <v>98</v>
      </c>
      <c r="B8" s="6">
        <f>Financial!G7</f>
        <v>23268.75</v>
      </c>
    </row>
    <row r="9" spans="1:3" ht="39" customHeight="1" x14ac:dyDescent="0.25">
      <c r="A9" s="6" t="s">
        <v>99</v>
      </c>
      <c r="B9" s="6">
        <f>(B8/10)</f>
        <v>2326.875</v>
      </c>
    </row>
    <row r="10" spans="1:3" ht="40.200000000000003" customHeight="1" x14ac:dyDescent="0.25">
      <c r="A10" s="6" t="s">
        <v>100</v>
      </c>
      <c r="B10" s="6">
        <f>Financial!D10</f>
        <v>382625.86805555556</v>
      </c>
    </row>
    <row r="11" spans="1:3" ht="32.4" customHeight="1" x14ac:dyDescent="0.25">
      <c r="A11" s="6" t="s">
        <v>103</v>
      </c>
      <c r="B11" s="6">
        <f>(B8 - B9)</f>
        <v>20941.875</v>
      </c>
    </row>
    <row r="12" spans="1:3" ht="69.599999999999994" customHeight="1" x14ac:dyDescent="0.25">
      <c r="A12" s="16" t="s">
        <v>102</v>
      </c>
      <c r="B12" s="16">
        <f>(B11 / (1+B7)^32) - B10</f>
        <v>-381634.00974178372</v>
      </c>
    </row>
    <row r="14" spans="1:3" s="33" customFormat="1" ht="33.6" customHeight="1" x14ac:dyDescent="0.3">
      <c r="A14" s="34" t="s">
        <v>106</v>
      </c>
      <c r="B14" s="34" t="str">
        <f>IF(B12&gt;0, "Feasible", IF(B12=0, "Break Even", "Not Feasible"))</f>
        <v>Not Feasible</v>
      </c>
    </row>
    <row r="16" spans="1:3" ht="70.8" customHeight="1" x14ac:dyDescent="0.25">
      <c r="A16" s="22" t="s">
        <v>108</v>
      </c>
      <c r="C16" s="32" t="s">
        <v>109</v>
      </c>
    </row>
    <row r="18" spans="1:3" ht="27.6" customHeight="1" x14ac:dyDescent="0.25">
      <c r="A18" s="6" t="s">
        <v>110</v>
      </c>
      <c r="B18" s="6">
        <v>0</v>
      </c>
    </row>
    <row r="19" spans="1:3" ht="33" customHeight="1" x14ac:dyDescent="0.25">
      <c r="A19" s="6" t="s">
        <v>112</v>
      </c>
      <c r="B19" s="6">
        <f>B11</f>
        <v>20941.875</v>
      </c>
    </row>
    <row r="20" spans="1:3" ht="48" customHeight="1" x14ac:dyDescent="0.25">
      <c r="A20" s="6" t="s">
        <v>100</v>
      </c>
      <c r="B20" s="6">
        <f>B10</f>
        <v>382625.86805555556</v>
      </c>
    </row>
    <row r="21" spans="1:3" s="35" customFormat="1" ht="50.4" customHeight="1" x14ac:dyDescent="0.4">
      <c r="A21" s="16" t="s">
        <v>111</v>
      </c>
      <c r="B21" s="16">
        <f>(((B19/B20)^(1/32)) - 1) * 100</f>
        <v>-8.6791303569801244</v>
      </c>
    </row>
    <row r="22" spans="1:3" ht="18" customHeight="1" x14ac:dyDescent="0.25"/>
    <row r="23" spans="1:3" ht="40.799999999999997" customHeight="1" x14ac:dyDescent="0.25">
      <c r="A23" s="34" t="s">
        <v>106</v>
      </c>
      <c r="B23" s="34" t="str">
        <f>IF(B21&gt;B7, "Feasible", IF(B21=B7, "Break Even", "Not Feasible"))</f>
        <v>Not Feasible</v>
      </c>
    </row>
    <row r="25" spans="1:3" ht="70.8" customHeight="1" x14ac:dyDescent="0.25">
      <c r="A25" s="22" t="s">
        <v>113</v>
      </c>
      <c r="C25" s="29" t="s">
        <v>114</v>
      </c>
    </row>
    <row r="26" spans="1:3" s="16" customFormat="1" ht="57.6" customHeight="1" x14ac:dyDescent="0.3">
      <c r="A26" s="16" t="s">
        <v>44</v>
      </c>
      <c r="B26" s="16" t="s">
        <v>2</v>
      </c>
      <c r="C26" s="16" t="s">
        <v>3</v>
      </c>
    </row>
    <row r="27" spans="1:3" ht="29.4" customHeight="1" x14ac:dyDescent="0.25">
      <c r="A27" s="6" t="s">
        <v>117</v>
      </c>
      <c r="B27" s="6">
        <f>Financial!D12</f>
        <v>25</v>
      </c>
      <c r="C27" s="6" t="s">
        <v>31</v>
      </c>
    </row>
    <row r="28" spans="1:3" ht="27.6" customHeight="1" x14ac:dyDescent="0.25">
      <c r="A28" s="6" t="s">
        <v>115</v>
      </c>
      <c r="B28" s="6">
        <f>Technical!E5</f>
        <v>798.4375</v>
      </c>
      <c r="C28" s="6" t="s">
        <v>26</v>
      </c>
    </row>
    <row r="29" spans="1:3" ht="26.4" customHeight="1" x14ac:dyDescent="0.25">
      <c r="A29" s="6" t="s">
        <v>116</v>
      </c>
      <c r="B29" s="6">
        <f>(B28 * B27)</f>
        <v>19960.9375</v>
      </c>
      <c r="C29" s="6" t="s">
        <v>118</v>
      </c>
    </row>
    <row r="31" spans="1:3" s="16" customFormat="1" ht="42" customHeight="1" x14ac:dyDescent="0.3">
      <c r="A31" s="16" t="s">
        <v>119</v>
      </c>
      <c r="B31" s="16">
        <f>(B20/B29)</f>
        <v>19.168732333115894</v>
      </c>
      <c r="C31" s="16" t="s">
        <v>65</v>
      </c>
    </row>
    <row r="32" spans="1:3" ht="55.8" customHeight="1" x14ac:dyDescent="0.25">
      <c r="A32" s="22" t="s">
        <v>120</v>
      </c>
    </row>
    <row r="33" spans="1:3" ht="52.2" customHeight="1" x14ac:dyDescent="0.25">
      <c r="A33" s="16" t="s">
        <v>44</v>
      </c>
      <c r="B33" s="16" t="s">
        <v>2</v>
      </c>
      <c r="C33" s="16" t="s">
        <v>3</v>
      </c>
    </row>
    <row r="34" spans="1:3" ht="46.2" customHeight="1" x14ac:dyDescent="0.25">
      <c r="A34" s="6" t="s">
        <v>121</v>
      </c>
      <c r="B34" s="6">
        <v>40</v>
      </c>
      <c r="C34" s="6" t="s">
        <v>65</v>
      </c>
    </row>
    <row r="36" spans="1:3" ht="43.8" customHeight="1" x14ac:dyDescent="0.25">
      <c r="A36" s="34" t="s">
        <v>106</v>
      </c>
      <c r="B36" s="34" t="str">
        <f>IF(B31&lt;B34, "Feasible", IF(B31=B34, "Break Even", "Not Feasible"))</f>
        <v>Feasible</v>
      </c>
    </row>
    <row r="38" spans="1:3" ht="72" customHeight="1" x14ac:dyDescent="0.25">
      <c r="A38" s="22" t="s">
        <v>122</v>
      </c>
    </row>
    <row r="39" spans="1:3" ht="42.6" customHeight="1" x14ac:dyDescent="0.25">
      <c r="A39" s="16" t="s">
        <v>44</v>
      </c>
      <c r="B39" s="16" t="s">
        <v>2</v>
      </c>
      <c r="C39" s="16" t="s">
        <v>3</v>
      </c>
    </row>
    <row r="40" spans="1:3" ht="29.4" customHeight="1" x14ac:dyDescent="0.25">
      <c r="A40" s="6" t="s">
        <v>123</v>
      </c>
      <c r="B40" s="6">
        <v>1000</v>
      </c>
      <c r="C40" s="6" t="s">
        <v>84</v>
      </c>
    </row>
    <row r="41" spans="1:3" ht="42.6" customHeight="1" x14ac:dyDescent="0.25">
      <c r="A41" s="6" t="s">
        <v>124</v>
      </c>
      <c r="B41" s="6">
        <f>Technical!E5 * Inputs!D15</f>
        <v>399.21875</v>
      </c>
      <c r="C41" s="6" t="s">
        <v>126</v>
      </c>
    </row>
    <row r="42" spans="1:3" ht="37.200000000000003" customHeight="1" x14ac:dyDescent="0.25">
      <c r="A42" s="6" t="s">
        <v>125</v>
      </c>
      <c r="B42" s="6">
        <f>Feasible!B41 * 25</f>
        <v>9980.46875</v>
      </c>
      <c r="C42" s="6" t="s">
        <v>127</v>
      </c>
    </row>
    <row r="43" spans="1:3" ht="55.8" customHeight="1" x14ac:dyDescent="0.25">
      <c r="A43" s="6" t="s">
        <v>128</v>
      </c>
      <c r="B43" s="6">
        <v>2800</v>
      </c>
      <c r="C43" s="6" t="s">
        <v>65</v>
      </c>
    </row>
    <row r="44" spans="1:3" ht="55.8" customHeight="1" x14ac:dyDescent="0.25">
      <c r="A44" s="36" t="s">
        <v>132</v>
      </c>
      <c r="B44" s="6"/>
      <c r="C44" s="6"/>
    </row>
    <row r="45" spans="1:3" ht="46.8" customHeight="1" x14ac:dyDescent="0.25">
      <c r="A45" s="29" t="s">
        <v>129</v>
      </c>
      <c r="B45" s="6">
        <f>(B41/B40)</f>
        <v>0.39921875000000001</v>
      </c>
      <c r="C45" s="6" t="s">
        <v>130</v>
      </c>
    </row>
    <row r="46" spans="1:3" ht="39" customHeight="1" x14ac:dyDescent="0.25">
      <c r="A46" s="6" t="s">
        <v>131</v>
      </c>
      <c r="B46" s="6">
        <f>(B45 * B43)</f>
        <v>1117.8125</v>
      </c>
      <c r="C46" s="6" t="s">
        <v>30</v>
      </c>
    </row>
    <row r="47" spans="1:3" ht="63" customHeight="1" x14ac:dyDescent="0.25">
      <c r="A47" s="36" t="s">
        <v>133</v>
      </c>
      <c r="B47" s="6"/>
      <c r="C47" s="6"/>
    </row>
    <row r="48" spans="1:3" ht="63" customHeight="1" x14ac:dyDescent="0.25">
      <c r="A48" s="29" t="s">
        <v>134</v>
      </c>
      <c r="B48" s="6">
        <f>(B42/B40)</f>
        <v>9.98046875</v>
      </c>
      <c r="C48" s="6" t="s">
        <v>130</v>
      </c>
    </row>
    <row r="49" spans="1:3" ht="63" customHeight="1" x14ac:dyDescent="0.25">
      <c r="A49" s="6" t="s">
        <v>131</v>
      </c>
      <c r="B49" s="6">
        <f>(B48 * B43)</f>
        <v>27945.3125</v>
      </c>
      <c r="C49" s="6" t="s">
        <v>135</v>
      </c>
    </row>
    <row r="50" spans="1:3" ht="50.4" customHeight="1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98CE-95B0-4386-9E41-18036B5EC416}">
  <dimension ref="A1:D36"/>
  <sheetViews>
    <sheetView topLeftCell="A4" workbookViewId="0">
      <selection activeCell="B4" sqref="B4"/>
    </sheetView>
  </sheetViews>
  <sheetFormatPr defaultRowHeight="13.8" x14ac:dyDescent="0.3"/>
  <cols>
    <col min="1" max="1" width="53.5546875" style="23" customWidth="1"/>
    <col min="2" max="2" width="44.109375" style="23" customWidth="1"/>
    <col min="3" max="3" width="38.6640625" style="23" customWidth="1"/>
    <col min="4" max="4" width="17.6640625" style="23" customWidth="1"/>
    <col min="5" max="16384" width="8.88671875" style="23"/>
  </cols>
  <sheetData>
    <row r="1" spans="1:4" ht="85.8" customHeight="1" x14ac:dyDescent="0.3">
      <c r="A1" s="37" t="s">
        <v>0</v>
      </c>
      <c r="B1" s="23" t="e" vm="2">
        <v>#VALUE!</v>
      </c>
    </row>
    <row r="2" spans="1:4" s="29" customFormat="1" ht="15.6" x14ac:dyDescent="0.3"/>
    <row r="3" spans="1:4" s="29" customFormat="1" ht="15.6" x14ac:dyDescent="0.3"/>
    <row r="4" spans="1:4" s="29" customFormat="1" ht="46.2" customHeight="1" x14ac:dyDescent="0.3">
      <c r="A4" s="38"/>
      <c r="B4" s="39" t="s">
        <v>136</v>
      </c>
      <c r="C4" s="39"/>
    </row>
    <row r="5" spans="1:4" s="29" customFormat="1" ht="76.2" customHeight="1" x14ac:dyDescent="0.3">
      <c r="A5" s="40" t="s">
        <v>137</v>
      </c>
      <c r="B5" s="40" t="s">
        <v>45</v>
      </c>
      <c r="C5" s="40" t="s">
        <v>3</v>
      </c>
      <c r="D5" s="40" t="s">
        <v>138</v>
      </c>
    </row>
    <row r="6" spans="1:4" s="29" customFormat="1" ht="45.6" customHeight="1" x14ac:dyDescent="0.3">
      <c r="A6" s="29" t="s">
        <v>139</v>
      </c>
      <c r="B6" s="29">
        <f>Environmental!B5</f>
        <v>399.21875</v>
      </c>
      <c r="C6" s="29" t="s">
        <v>142</v>
      </c>
      <c r="D6" s="29">
        <f>IF(B6&lt;200, 25, IF(B6&lt;=500, 50, IF(B6&lt;=1000, 75, 100)))</f>
        <v>50</v>
      </c>
    </row>
    <row r="7" spans="1:4" s="29" customFormat="1" ht="43.2" customHeight="1" x14ac:dyDescent="0.3">
      <c r="A7" s="29" t="s">
        <v>140</v>
      </c>
      <c r="B7" s="29">
        <f>Environmental!B6</f>
        <v>9980.46875</v>
      </c>
      <c r="C7" s="29" t="s">
        <v>143</v>
      </c>
      <c r="D7" s="29">
        <f>IF(B7&lt;5000, 25, IF(B7&lt;=7500, 50, IF(B7&lt;=10000, 75, 100)))</f>
        <v>75</v>
      </c>
    </row>
    <row r="8" spans="1:4" s="29" customFormat="1" ht="43.2" customHeight="1" x14ac:dyDescent="0.3">
      <c r="A8" s="29" t="s">
        <v>141</v>
      </c>
      <c r="B8" s="29">
        <f>'Visual Dashboard'!B26</f>
        <v>45.714285714285715</v>
      </c>
      <c r="C8" s="29" t="s">
        <v>80</v>
      </c>
      <c r="D8" s="29">
        <f>IF(B8&lt;30, 25, IF(B8&lt;=60, 50, IF(B8&lt;=90, 75, 100)))</f>
        <v>50</v>
      </c>
    </row>
    <row r="9" spans="1:4" s="29" customFormat="1" ht="45" customHeight="1" x14ac:dyDescent="0.3">
      <c r="A9" s="29" t="s">
        <v>144</v>
      </c>
      <c r="B9" s="29">
        <f>(Feasible!B31 / Feasible!B34) * 100</f>
        <v>47.921830832789738</v>
      </c>
      <c r="C9" s="29" t="s">
        <v>145</v>
      </c>
      <c r="D9" s="29">
        <f>IF(B9&lt;5, 25, IF(B9&lt;=15, 50, IF(B9&lt;=25, 75, 100)))</f>
        <v>100</v>
      </c>
    </row>
    <row r="10" spans="1:4" s="29" customFormat="1" ht="46.8" customHeight="1" x14ac:dyDescent="0.3"/>
    <row r="11" spans="1:4" s="27" customFormat="1" ht="54" customHeight="1" x14ac:dyDescent="0.3">
      <c r="B11" s="41" t="s">
        <v>146</v>
      </c>
      <c r="C11" s="27">
        <f>SUM(D6:D9) / 4</f>
        <v>68.75</v>
      </c>
      <c r="D11" s="41" t="str">
        <f>IF(C11&lt;60, "Low Sustainable", IF(C11&lt;=75, "Moderate Sustainable", "Highly Sustainable"))</f>
        <v>Moderate Sustainable</v>
      </c>
    </row>
    <row r="12" spans="1:4" s="29" customFormat="1" ht="15.6" x14ac:dyDescent="0.3"/>
    <row r="13" spans="1:4" s="29" customFormat="1" ht="15.6" x14ac:dyDescent="0.3"/>
    <row r="14" spans="1:4" s="29" customFormat="1" ht="15.6" x14ac:dyDescent="0.3"/>
    <row r="15" spans="1:4" s="29" customFormat="1" ht="15.6" x14ac:dyDescent="0.3"/>
    <row r="16" spans="1:4" s="29" customFormat="1" ht="15.6" x14ac:dyDescent="0.3"/>
    <row r="17" s="29" customFormat="1" ht="15.6" x14ac:dyDescent="0.3"/>
    <row r="18" s="29" customFormat="1" ht="15.6" x14ac:dyDescent="0.3"/>
    <row r="19" s="29" customFormat="1" ht="15.6" x14ac:dyDescent="0.3"/>
    <row r="20" s="29" customFormat="1" ht="15.6" x14ac:dyDescent="0.3"/>
    <row r="21" s="29" customFormat="1" ht="15.6" x14ac:dyDescent="0.3"/>
    <row r="22" s="29" customFormat="1" ht="15.6" x14ac:dyDescent="0.3"/>
    <row r="23" s="29" customFormat="1" ht="15.6" x14ac:dyDescent="0.3"/>
    <row r="24" s="29" customFormat="1" ht="15.6" x14ac:dyDescent="0.3"/>
    <row r="25" s="29" customFormat="1" ht="15.6" x14ac:dyDescent="0.3"/>
    <row r="26" s="29" customFormat="1" ht="15.6" x14ac:dyDescent="0.3"/>
    <row r="27" s="29" customFormat="1" ht="15.6" x14ac:dyDescent="0.3"/>
    <row r="28" s="29" customFormat="1" ht="15.6" x14ac:dyDescent="0.3"/>
    <row r="29" s="29" customFormat="1" ht="15.6" x14ac:dyDescent="0.3"/>
    <row r="30" s="29" customFormat="1" ht="15.6" x14ac:dyDescent="0.3"/>
    <row r="31" s="29" customFormat="1" ht="15.6" x14ac:dyDescent="0.3"/>
    <row r="32" s="29" customFormat="1" ht="15.6" x14ac:dyDescent="0.3"/>
    <row r="33" s="29" customFormat="1" ht="15.6" x14ac:dyDescent="0.3"/>
    <row r="34" s="29" customFormat="1" ht="15.6" x14ac:dyDescent="0.3"/>
    <row r="35" s="29" customFormat="1" ht="15.6" x14ac:dyDescent="0.3"/>
    <row r="36" s="29" customFormat="1" ht="15.6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6305-24C0-4AD2-8D49-AA04BD81E2DF}">
  <dimension ref="A1:G17"/>
  <sheetViews>
    <sheetView tabSelected="1" topLeftCell="A6" workbookViewId="0">
      <selection activeCell="F15" sqref="F15"/>
    </sheetView>
  </sheetViews>
  <sheetFormatPr defaultRowHeight="13.8" x14ac:dyDescent="0.3"/>
  <cols>
    <col min="1" max="1" width="49.5546875" style="1" customWidth="1"/>
    <col min="2" max="2" width="34.44140625" style="1" customWidth="1"/>
    <col min="3" max="3" width="17.88671875" style="1" customWidth="1"/>
    <col min="4" max="4" width="8.88671875" style="1"/>
    <col min="5" max="5" width="26.33203125" style="1" customWidth="1"/>
    <col min="6" max="6" width="27.44140625" style="1" customWidth="1"/>
    <col min="7" max="7" width="21.44140625" style="1" customWidth="1"/>
    <col min="8" max="16384" width="8.88671875" style="1"/>
  </cols>
  <sheetData>
    <row r="1" spans="1:7" ht="94.2" customHeight="1" x14ac:dyDescent="0.3">
      <c r="A1" s="37" t="s">
        <v>0</v>
      </c>
      <c r="B1" s="23" t="e" vm="2">
        <v>#VALUE!</v>
      </c>
    </row>
    <row r="4" spans="1:7" ht="42.6" customHeight="1" x14ac:dyDescent="0.3">
      <c r="B4" s="33" t="s">
        <v>147</v>
      </c>
    </row>
    <row r="5" spans="1:7" ht="40.799999999999997" customHeight="1" x14ac:dyDescent="0.3">
      <c r="A5" s="43" t="s">
        <v>148</v>
      </c>
    </row>
    <row r="6" spans="1:7" ht="40.799999999999997" customHeight="1" x14ac:dyDescent="0.3">
      <c r="B6" s="9" t="s">
        <v>162</v>
      </c>
      <c r="F6" s="9" t="s">
        <v>163</v>
      </c>
    </row>
    <row r="7" spans="1:7" ht="29.4" customHeight="1" x14ac:dyDescent="0.3">
      <c r="A7" s="42" t="s">
        <v>1</v>
      </c>
      <c r="B7" s="42" t="s">
        <v>45</v>
      </c>
      <c r="C7" s="42" t="s">
        <v>3</v>
      </c>
      <c r="E7" s="42" t="s">
        <v>1</v>
      </c>
      <c r="F7" s="42" t="s">
        <v>45</v>
      </c>
      <c r="G7" s="42" t="s">
        <v>3</v>
      </c>
    </row>
    <row r="8" spans="1:7" ht="21" customHeight="1" x14ac:dyDescent="0.3">
      <c r="A8" s="1" t="s">
        <v>149</v>
      </c>
      <c r="B8" s="1">
        <f>Inputs!D5</f>
        <v>365</v>
      </c>
      <c r="C8" s="1" t="s">
        <v>37</v>
      </c>
      <c r="E8" s="1" t="s">
        <v>155</v>
      </c>
      <c r="F8" s="44">
        <v>0.1</v>
      </c>
    </row>
    <row r="9" spans="1:7" ht="23.4" customHeight="1" x14ac:dyDescent="0.3">
      <c r="A9" s="1" t="s">
        <v>34</v>
      </c>
      <c r="B9" s="1">
        <f>Inputs!D6</f>
        <v>30.416666666666668</v>
      </c>
      <c r="C9" s="1" t="s">
        <v>38</v>
      </c>
      <c r="E9" s="1" t="s">
        <v>156</v>
      </c>
      <c r="F9" s="1">
        <f>Financial!D10</f>
        <v>382625.86805555556</v>
      </c>
      <c r="G9" s="1" t="s">
        <v>65</v>
      </c>
    </row>
    <row r="10" spans="1:7" ht="24.6" customHeight="1" x14ac:dyDescent="0.3">
      <c r="A10" s="1" t="s">
        <v>56</v>
      </c>
      <c r="B10" s="1">
        <f>Inputs!D7</f>
        <v>1.0138888888888888</v>
      </c>
      <c r="C10" s="1" t="s">
        <v>8</v>
      </c>
      <c r="E10" s="1" t="s">
        <v>157</v>
      </c>
      <c r="F10" s="1">
        <f>Feasible!B19</f>
        <v>20941.875</v>
      </c>
      <c r="G10" s="1" t="s">
        <v>65</v>
      </c>
    </row>
    <row r="11" spans="1:7" ht="26.4" customHeight="1" x14ac:dyDescent="0.3">
      <c r="A11" s="1" t="s">
        <v>150</v>
      </c>
      <c r="B11" s="1">
        <f>Inputs!D9</f>
        <v>5</v>
      </c>
      <c r="C11" s="1" t="s">
        <v>9</v>
      </c>
      <c r="E11" s="42" t="s">
        <v>158</v>
      </c>
      <c r="F11" s="42">
        <f>Feasible!B12</f>
        <v>-381634.00974178372</v>
      </c>
      <c r="G11" s="1" t="s">
        <v>65</v>
      </c>
    </row>
    <row r="12" spans="1:7" ht="33" customHeight="1" x14ac:dyDescent="0.3">
      <c r="A12" s="1" t="s">
        <v>151</v>
      </c>
      <c r="B12" s="1">
        <f>Inputs!D10</f>
        <v>0.8</v>
      </c>
      <c r="E12" s="1" t="s">
        <v>159</v>
      </c>
      <c r="F12" s="1">
        <f>Technical!E5</f>
        <v>798.4375</v>
      </c>
      <c r="G12" s="1" t="s">
        <v>37</v>
      </c>
    </row>
    <row r="13" spans="1:7" ht="31.8" customHeight="1" x14ac:dyDescent="0.3">
      <c r="A13" s="1" t="s">
        <v>152</v>
      </c>
      <c r="B13" s="1">
        <f>(B10/(B11*B12)*1.75)</f>
        <v>0.44357638888888884</v>
      </c>
      <c r="C13" s="1" t="s">
        <v>10</v>
      </c>
      <c r="E13" s="1" t="s">
        <v>160</v>
      </c>
      <c r="F13" s="1">
        <f>Financial!D12</f>
        <v>25</v>
      </c>
      <c r="G13" s="1" t="s">
        <v>31</v>
      </c>
    </row>
    <row r="14" spans="1:7" ht="40.200000000000003" customHeight="1" x14ac:dyDescent="0.3">
      <c r="A14" s="1" t="s">
        <v>153</v>
      </c>
      <c r="B14" s="1">
        <f>Inputs!D12</f>
        <v>550</v>
      </c>
      <c r="C14" s="1" t="s">
        <v>43</v>
      </c>
      <c r="E14" s="1" t="s">
        <v>161</v>
      </c>
      <c r="F14" s="1">
        <f>F12 * F13</f>
        <v>19960.9375</v>
      </c>
      <c r="G14" s="1" t="s">
        <v>164</v>
      </c>
    </row>
    <row r="15" spans="1:7" ht="29.4" customHeight="1" x14ac:dyDescent="0.3">
      <c r="A15" s="1" t="s">
        <v>154</v>
      </c>
      <c r="B15" s="1">
        <f>(B13 * 1000)/B14</f>
        <v>0.80650252525252519</v>
      </c>
      <c r="E15" s="42" t="s">
        <v>119</v>
      </c>
      <c r="F15" s="42">
        <f>F9 / F14</f>
        <v>19.168732333115894</v>
      </c>
      <c r="G15" s="1" t="s">
        <v>65</v>
      </c>
    </row>
    <row r="16" spans="1:7" ht="36" customHeight="1" x14ac:dyDescent="0.3">
      <c r="A16" s="1" t="s">
        <v>15</v>
      </c>
      <c r="B16" s="1">
        <f>B13 * 1.5</f>
        <v>0.66536458333333326</v>
      </c>
      <c r="C16" s="1" t="s">
        <v>10</v>
      </c>
      <c r="E16" s="42" t="s">
        <v>18</v>
      </c>
      <c r="F16" s="42">
        <f>Financial!G8</f>
        <v>16.443765481839616</v>
      </c>
      <c r="G16" s="1" t="s">
        <v>31</v>
      </c>
    </row>
    <row r="17" spans="5:7" ht="39.6" customHeight="1" x14ac:dyDescent="0.3">
      <c r="E17" s="42" t="s">
        <v>19</v>
      </c>
      <c r="F17" s="42">
        <f>Financial!G9</f>
        <v>6.0813321687443986</v>
      </c>
      <c r="G17" s="1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32E69B-C861-4171-82F7-45907B0766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Inputs</vt:lpstr>
      <vt:lpstr>Technical</vt:lpstr>
      <vt:lpstr>Financial</vt:lpstr>
      <vt:lpstr>Environmental</vt:lpstr>
      <vt:lpstr>Visual Dashboard</vt:lpstr>
      <vt:lpstr>Feasible</vt:lpstr>
      <vt:lpstr>Scoring</vt:lpstr>
      <vt:lpstr>Testing</vt:lpstr>
      <vt:lpstr>'Visual Dashboard'!Print_Area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IBTISAAM HAIDER</dc:creator>
  <cp:lastModifiedBy>IBTISAAM HAIDER</cp:lastModifiedBy>
  <cp:lastPrinted>2026-02-18T20:33:03Z</cp:lastPrinted>
  <dcterms:created xsi:type="dcterms:W3CDTF">2026-02-16T11:20:38Z</dcterms:created>
  <dcterms:modified xsi:type="dcterms:W3CDTF">2026-02-22T11:22:25Z</dcterms:modified>
</cp:coreProperties>
</file>