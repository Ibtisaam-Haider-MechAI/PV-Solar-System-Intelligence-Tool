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ohail Laptop\Desktop\PV Installation Estimate\"/>
    </mc:Choice>
  </mc:AlternateContent>
  <xr:revisionPtr revIDLastSave="0" documentId="8_{B545562B-D8BC-44A4-8D75-FC29609306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puts" sheetId="1" r:id="rId1"/>
    <sheet name="Technical" sheetId="2" r:id="rId2"/>
    <sheet name="Financial" sheetId="3" r:id="rId3"/>
    <sheet name="Visual 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D6" i="1"/>
  <c r="D7" i="1" s="1"/>
  <c r="D11" i="1" s="1"/>
  <c r="D5" i="3" l="1"/>
  <c r="D10" i="3" s="1"/>
  <c r="E9" i="2"/>
  <c r="E7" i="2"/>
  <c r="E6" i="2" s="1"/>
  <c r="E5" i="2" s="1"/>
  <c r="E11" i="2" s="1"/>
  <c r="G6" i="3" s="1"/>
  <c r="E8" i="2"/>
  <c r="G7" i="3"/>
  <c r="G8" i="3" l="1"/>
  <c r="G9" i="3" s="1"/>
</calcChain>
</file>

<file path=xl/sharedStrings.xml><?xml version="1.0" encoding="utf-8"?>
<sst xmlns="http://schemas.openxmlformats.org/spreadsheetml/2006/main" count="66" uniqueCount="51">
  <si>
    <t>SunEnergy Value</t>
  </si>
  <si>
    <t>Input Information</t>
  </si>
  <si>
    <t>Parameters</t>
  </si>
  <si>
    <t>Value</t>
  </si>
  <si>
    <t>Units</t>
  </si>
  <si>
    <t>Annual Units Consumed</t>
  </si>
  <si>
    <t>kWh/year</t>
  </si>
  <si>
    <t>Monthly Units Consumed</t>
  </si>
  <si>
    <t>kWh/month</t>
  </si>
  <si>
    <t>Daily Units / Daily Load</t>
  </si>
  <si>
    <t>kWh/day</t>
  </si>
  <si>
    <t>Location</t>
  </si>
  <si>
    <t>Islamabad</t>
  </si>
  <si>
    <t>Peak Sun Hours</t>
  </si>
  <si>
    <t>hrs.</t>
  </si>
  <si>
    <t>System Efficiency</t>
  </si>
  <si>
    <t>System Size</t>
  </si>
  <si>
    <t>kW</t>
  </si>
  <si>
    <t>Solar Size</t>
  </si>
  <si>
    <t>W</t>
  </si>
  <si>
    <t>Technical Results</t>
  </si>
  <si>
    <t>Results</t>
  </si>
  <si>
    <t>Annual Energy Production</t>
  </si>
  <si>
    <t>kWh/Year</t>
  </si>
  <si>
    <t>Monthly Energy Production</t>
  </si>
  <si>
    <t>Daily Energy Production</t>
  </si>
  <si>
    <t>Panels Required</t>
  </si>
  <si>
    <t>Inverter Size</t>
  </si>
  <si>
    <t>Excess Units (Export to Grid)</t>
  </si>
  <si>
    <t>Financial Analysis</t>
  </si>
  <si>
    <t>Items</t>
  </si>
  <si>
    <t>Panel Cost</t>
  </si>
  <si>
    <t>Save Bill Money</t>
  </si>
  <si>
    <t>Rs./Year</t>
  </si>
  <si>
    <t>Inverter Cost</t>
  </si>
  <si>
    <t>Earn Money by sell units</t>
  </si>
  <si>
    <t>Structure &amp; Frame Cost</t>
  </si>
  <si>
    <t>Annual Savings</t>
  </si>
  <si>
    <t>On-Grid (Net Metering)</t>
  </si>
  <si>
    <t>Payback Period</t>
  </si>
  <si>
    <t>Years</t>
  </si>
  <si>
    <t>Total Labor Cost</t>
  </si>
  <si>
    <t>ROI</t>
  </si>
  <si>
    <t>%/Year</t>
  </si>
  <si>
    <t>Total System Cost</t>
  </si>
  <si>
    <t>Data</t>
  </si>
  <si>
    <t>Values</t>
  </si>
  <si>
    <t>Tarrif Rate. (Rs) / Unit</t>
  </si>
  <si>
    <t>Export Rate (Rs) / Unit</t>
  </si>
  <si>
    <t>Cost per kW</t>
  </si>
  <si>
    <t>Graphical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</si>
</sst>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defaultRowHeight="14.4" x14ac:dyDescent="0.3"/>
  <cols>
    <col min="3" max="3" width="25.3984375" customWidth="1"/>
    <col min="4" max="4" width="13.796875" customWidth="1"/>
    <col min="5" max="5" width="15" customWidth="1"/>
  </cols>
  <sheetData>
    <row r="1" spans="1:5" ht="15.6" x14ac:dyDescent="0.3">
      <c r="A1" t="s">
        <v>0</v>
      </c>
      <c r="D1" t="s">
        <v>1</v>
      </c>
    </row>
    <row r="3" spans="1:5" ht="15.6" x14ac:dyDescent="0.3">
      <c r="C3" t="s">
        <v>2</v>
      </c>
      <c r="D3" t="s">
        <v>3</v>
      </c>
      <c r="E3" t="s">
        <v>4</v>
      </c>
    </row>
    <row r="5" spans="1:5" ht="15.6" x14ac:dyDescent="0.3">
      <c r="C5" t="s">
        <v>5</v>
      </c>
      <c r="D5">
        <v>3600</v>
      </c>
      <c r="E5" t="s">
        <v>6</v>
      </c>
    </row>
    <row r="6" spans="1:5" ht="15.6" x14ac:dyDescent="0.3">
      <c r="C6" t="s">
        <v>7</v>
      </c>
      <c r="D6">
        <f>(D5/12)</f>
        <v>300</v>
      </c>
      <c r="E6" t="s">
        <v>8</v>
      </c>
    </row>
    <row r="7" spans="1:5" ht="15.6" x14ac:dyDescent="0.3">
      <c r="C7" t="s">
        <v>9</v>
      </c>
      <c r="D7">
        <f>(D6/30)</f>
        <v>10</v>
      </c>
      <c r="E7" t="s">
        <v>10</v>
      </c>
    </row>
    <row r="8" spans="1:5" ht="15.6" x14ac:dyDescent="0.3">
      <c r="C8" t="s">
        <v>11</v>
      </c>
      <c r="D8" t="s">
        <v>12</v>
      </c>
    </row>
    <row r="9" spans="1:5" ht="15.6" x14ac:dyDescent="0.3">
      <c r="C9" t="s">
        <v>13</v>
      </c>
      <c r="D9">
        <v>5</v>
      </c>
      <c r="E9" t="s">
        <v>14</v>
      </c>
    </row>
    <row r="10" spans="1:5" ht="15.6" x14ac:dyDescent="0.3">
      <c r="C10" t="s">
        <v>15</v>
      </c>
      <c r="D10">
        <v>0.8</v>
      </c>
    </row>
    <row r="11" spans="1:5" ht="15.6" x14ac:dyDescent="0.3">
      <c r="C11" t="s">
        <v>16</v>
      </c>
      <c r="D11">
        <f>(D7/(D9 * D10)) * 1.75</f>
        <v>4.375</v>
      </c>
      <c r="E11" t="s">
        <v>17</v>
      </c>
    </row>
    <row r="12" spans="1:5" ht="15.6" x14ac:dyDescent="0.3">
      <c r="C12" t="s">
        <v>18</v>
      </c>
      <c r="D12">
        <v>550</v>
      </c>
      <c r="E12" t="s">
        <v>19</v>
      </c>
    </row>
  </sheetData>
  <pageMargins left="0.7" right="0.7" top="0.75" bottom="0.75" header="0.3" footer="0.3"/>
  <ignoredErrors>
    <ignoredError sqref="A1:E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4.4" x14ac:dyDescent="0.3"/>
  <sheetData>
    <row r="1" spans="1:6" ht="15.6" x14ac:dyDescent="0.3">
      <c r="A1" t="s">
        <v>0</v>
      </c>
      <c r="D1" t="s">
        <v>20</v>
      </c>
    </row>
    <row r="3" spans="1:6" ht="15.6" x14ac:dyDescent="0.3">
      <c r="C3" t="s">
        <v>2</v>
      </c>
      <c r="E3" t="s">
        <v>21</v>
      </c>
      <c r="F3" t="s">
        <v>4</v>
      </c>
    </row>
    <row r="5" spans="1:6" ht="15.6" x14ac:dyDescent="0.3">
      <c r="C5" t="s">
        <v>22</v>
      </c>
      <c r="E5">
        <f>(E6 * 12)</f>
        <v>7875</v>
      </c>
      <c r="F5" t="s">
        <v>23</v>
      </c>
    </row>
    <row r="6" spans="1:6" ht="15.6" x14ac:dyDescent="0.3">
      <c r="C6" t="s">
        <v>24</v>
      </c>
      <c r="E6">
        <f>(E7 * 30)</f>
        <v>656.25</v>
      </c>
      <c r="F6" t="s">
        <v>8</v>
      </c>
    </row>
    <row r="7" spans="1:6" ht="15.6" x14ac:dyDescent="0.3">
      <c r="C7" t="s">
        <v>25</v>
      </c>
      <c r="E7">
        <f>(Inputs!D11 * Inputs!D9)</f>
        <v>21.875</v>
      </c>
      <c r="F7" t="s">
        <v>10</v>
      </c>
    </row>
    <row r="8" spans="1:6" ht="15.6" x14ac:dyDescent="0.3">
      <c r="C8" t="s">
        <v>26</v>
      </c>
      <c r="E8">
        <f>(Inputs!D11 * 1000) / Inputs!D12</f>
        <v>7.9545454545454541</v>
      </c>
    </row>
    <row r="9" spans="1:6" ht="15.6" x14ac:dyDescent="0.3">
      <c r="C9" t="s">
        <v>27</v>
      </c>
      <c r="E9">
        <f>(Inputs!D11 * 1.5)</f>
        <v>6.5625</v>
      </c>
      <c r="F9" t="s">
        <v>17</v>
      </c>
    </row>
    <row r="11" spans="1:6" ht="15.6" x14ac:dyDescent="0.3">
      <c r="C11" t="s">
        <v>28</v>
      </c>
      <c r="E11">
        <f>(E5 - Inputs!D5)</f>
        <v>4275</v>
      </c>
      <c r="F11" t="s">
        <v>6</v>
      </c>
    </row>
  </sheetData>
  <pageMargins left="0.7" right="0.7" top="0.75" bottom="0.75" header="0.3" footer="0.3"/>
  <ignoredErrors>
    <ignoredError sqref="A1:F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D10" sqref="D10"/>
    </sheetView>
  </sheetViews>
  <sheetFormatPr defaultRowHeight="14.4" x14ac:dyDescent="0.3"/>
  <cols>
    <col min="4" max="4" width="16.69921875" customWidth="1"/>
  </cols>
  <sheetData>
    <row r="1" spans="1:8" ht="15.6" x14ac:dyDescent="0.3">
      <c r="A1" t="s">
        <v>0</v>
      </c>
      <c r="D1" t="s">
        <v>29</v>
      </c>
    </row>
    <row r="3" spans="1:8" ht="15.6" x14ac:dyDescent="0.3">
      <c r="C3" t="s">
        <v>2</v>
      </c>
      <c r="D3" t="s">
        <v>21</v>
      </c>
      <c r="F3" t="s">
        <v>30</v>
      </c>
      <c r="G3" t="s">
        <v>21</v>
      </c>
      <c r="H3" t="s">
        <v>4</v>
      </c>
    </row>
    <row r="5" spans="1:8" ht="15.6" x14ac:dyDescent="0.3">
      <c r="C5" t="s">
        <v>31</v>
      </c>
      <c r="D5">
        <f>(Inputs!D11 * G14)</f>
        <v>765625</v>
      </c>
      <c r="F5" t="s">
        <v>32</v>
      </c>
      <c r="G5">
        <f>(Inputs!D5 * G12)</f>
        <v>144000</v>
      </c>
      <c r="H5" t="s">
        <v>33</v>
      </c>
    </row>
    <row r="6" spans="1:8" ht="15.6" x14ac:dyDescent="0.3">
      <c r="C6" t="s">
        <v>34</v>
      </c>
      <c r="D6">
        <v>140000</v>
      </c>
      <c r="F6" t="s">
        <v>35</v>
      </c>
      <c r="G6">
        <f>(Technical!E11 * G13)</f>
        <v>85500</v>
      </c>
      <c r="H6" t="s">
        <v>33</v>
      </c>
    </row>
    <row r="7" spans="1:8" ht="15.6" x14ac:dyDescent="0.3">
      <c r="C7" t="s">
        <v>36</v>
      </c>
      <c r="D7">
        <v>60000</v>
      </c>
      <c r="F7" t="s">
        <v>37</v>
      </c>
      <c r="G7">
        <f>SUM(G5:G6)</f>
        <v>229500</v>
      </c>
      <c r="H7" t="s">
        <v>33</v>
      </c>
    </row>
    <row r="8" spans="1:8" ht="15.6" x14ac:dyDescent="0.3">
      <c r="C8" t="s">
        <v>38</v>
      </c>
      <c r="D8">
        <v>65000</v>
      </c>
      <c r="F8" t="s">
        <v>39</v>
      </c>
      <c r="G8">
        <f>D10/G7</f>
        <v>4.6650326797385624</v>
      </c>
      <c r="H8" t="s">
        <v>40</v>
      </c>
    </row>
    <row r="9" spans="1:8" ht="15.6" x14ac:dyDescent="0.3">
      <c r="C9" t="s">
        <v>41</v>
      </c>
      <c r="D9">
        <v>40000</v>
      </c>
      <c r="F9" t="s">
        <v>42</v>
      </c>
      <c r="G9">
        <f>(1/G8) * 100</f>
        <v>21.436077057793344</v>
      </c>
      <c r="H9" t="s">
        <v>43</v>
      </c>
    </row>
    <row r="10" spans="1:8" ht="15.6" x14ac:dyDescent="0.3">
      <c r="C10" t="s">
        <v>44</v>
      </c>
      <c r="D10">
        <f>SUM(D5:D9)</f>
        <v>1070625</v>
      </c>
    </row>
    <row r="11" spans="1:8" ht="15.6" x14ac:dyDescent="0.3">
      <c r="F11" t="s">
        <v>45</v>
      </c>
      <c r="G11" t="s">
        <v>46</v>
      </c>
    </row>
    <row r="12" spans="1:8" ht="15.6" x14ac:dyDescent="0.3">
      <c r="F12" t="s">
        <v>47</v>
      </c>
      <c r="G12">
        <v>40</v>
      </c>
    </row>
    <row r="13" spans="1:8" ht="15.6" x14ac:dyDescent="0.3">
      <c r="F13" t="s">
        <v>48</v>
      </c>
      <c r="G13">
        <v>20</v>
      </c>
    </row>
    <row r="14" spans="1:8" ht="15.6" x14ac:dyDescent="0.3">
      <c r="F14" t="s">
        <v>49</v>
      </c>
      <c r="G14">
        <v>175000</v>
      </c>
    </row>
  </sheetData>
  <pageMargins left="0.7" right="0.7" top="0.75" bottom="0.75" header="0.3" footer="0.3"/>
  <ignoredErrors>
    <ignoredError sqref="A1:H8 A10:H15 A9:C9 E9:H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>
      <selection activeCell="H9" sqref="H9"/>
    </sheetView>
  </sheetViews>
  <sheetFormatPr defaultRowHeight="14.4" x14ac:dyDescent="0.3"/>
  <sheetData>
    <row r="1" spans="1:10" ht="15.6" x14ac:dyDescent="0.3">
      <c r="A1" t="s">
        <v>0</v>
      </c>
      <c r="J1" t="s">
        <v>50</v>
      </c>
    </row>
  </sheetData>
  <pageMargins left="0.7" right="0.7" top="0.75" bottom="0.75" header="0.3" footer="0.3"/>
  <ignoredErrors>
    <ignoredError sqref="A1:Y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Technical</vt:lpstr>
      <vt:lpstr>Financial</vt:lpstr>
      <vt:lpstr>Visual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IBTISAAM HAIDER</dc:creator>
  <cp:lastModifiedBy>IBTISAAM HAIDER</cp:lastModifiedBy>
  <dcterms:created xsi:type="dcterms:W3CDTF">2026-02-16T11:20:38Z</dcterms:created>
  <dcterms:modified xsi:type="dcterms:W3CDTF">2026-02-17T21:22:00Z</dcterms:modified>
</cp:coreProperties>
</file>